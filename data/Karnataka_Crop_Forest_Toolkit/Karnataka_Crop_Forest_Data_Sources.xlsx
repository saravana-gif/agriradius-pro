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_Plot_Level_Crop" sheetId="2" state="visible" r:id="rId4"/>
    <sheet name="2_Crop_Statistics" sheetId="3" state="visible" r:id="rId5"/>
    <sheet name="3_Forest_Data" sheetId="4" state="visible" r:id="rId6"/>
    <sheet name="4_Satellite_CropType" sheetId="5" state="visible" r:id="rId7"/>
    <sheet name="5_Live_APIs" sheetId="6" state="visible" r:id="rId8"/>
    <sheet name="6_REAL_DATA" sheetId="7" state="visible" r:id="rId9"/>
    <sheet name="7_Gaps_And_Request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<sst xmlns="http://schemas.openxmlformats.org/spreadsheetml/2006/main" count="863" uniqueCount="433">
  <si>
    <t xml:space="preserve">Karnataka Crop-wise &amp; Forest Land Data — Source Inventory</t>
  </si>
  <si>
    <t xml:space="preserve">Prepared 17 August 2026 for OneRoot. Companion to the irrigation workbook. Crops covered: MAIZE, TURMERIC, BANANA, VEGETABLES, FRUITS, FLOWERS, plus PLANTATION crops (arecanut, coconut, coffee) and FOREST land.</t>
  </si>
  <si>
    <t xml:space="preserve">THE ONE-PARAGRAPH ANSWER</t>
  </si>
  <si>
    <t xml:space="preserve">Same structural answer as irrigation, with one important difference in your favour. Plot-level: only the Karnataka Crop Survey (Bele Sameekshe) records which crop is on which survey number, refreshed every season — no open bulk API, needs a Department of Agriculture MoU. BUT the aggregate layer is far better than it was for irrigation: Karnataka's Directorate of Economics &amp; Statistics publishes TALUK-LEVEL horticulture area, crop by crop, keyed on 'kgistalukname' plus Dist_Code and Taluk_Code — which are KGIS codes, so they join directly to KGIS taluk boundaries with no fuzzy name matching. That is genuinely usable for field-staff targeting today, for free. Forest is a different problem entirely: LEGAL forest boundaries are not public anywhere, and satellite forest products will confidently label your coffee, arecanut, mango and coconut blocks as 'forest'.</t>
  </si>
  <si>
    <t xml:space="preserve">WHAT IS IN THIS WORKBOOK</t>
  </si>
  <si>
    <t xml:space="preserve">1_Plot_Level_Crop     — sources that tell you the crop on a specific survey number.</t>
  </si>
  <si>
    <t xml:space="preserve">2_Crop_Statistics     — taluk / district crop area and production, with every resource UUID.</t>
  </si>
  <si>
    <t xml:space="preserve">3_Forest_Data         — legal forest vs satellite forest cover. Read the warning at the top of that sheet.</t>
  </si>
  <si>
    <t xml:space="preserve">4_Satellite_CropType  — what can and cannot be separated from space, crop by crop.</t>
  </si>
  <si>
    <t xml:space="preserve">5_Live_APIs           — verified endpoints and example calls.</t>
  </si>
  <si>
    <t xml:space="preserve">6_REAL_DATA           — actual Karnataka numbers pulled live on 17 Aug 2026.</t>
  </si>
  <si>
    <t xml:space="preserve">7_Gaps_And_Requests   — what I could not find, and who to ask.</t>
  </si>
  <si>
    <t xml:space="preserve">THE BIGGEST FIND</t>
  </si>
  <si>
    <t xml:space="preserve">Karnataka DES publishes a numbered taluk-level horticulture series on data.gov.in covering 228 taluks. Six area files (4_4.4_b through 4_4.4_f) and production files (4_4.9, 4_4.10). Between them they give per-taluk hectares for banana, mango, lemon, pineapple, guava, grapes, sapota, pomegranate, papaya, orange, watermelon, tomato, brinjal, cucumber, beans, cluster beans, cabbage, ridge gourd, radish, onion, beetroot, carrot, knol khol, okra, green chillies, snake gourd — and taluk production for coconut, arecanut, cardamom, pepper, cashew, cocoa. All UUIDs are in sheet 5. This is the best free sub-district crop data for Karnataka and almost nobody uses it.</t>
  </si>
  <si>
    <t xml:space="preserve">THE HONEST GAPS</t>
  </si>
  <si>
    <t xml:space="preserve">• TURMERIC and FLOWERS: I could not find a taluk-level Karnataka file for either. Turmeric sits in a 'Spice Crop' resource whose every record returns 'NA' — the resource is published but unpopulated. Flowers do not appear in the DES numbered series at all. Both almost certainly exist inside the Department of Horticulture's own statistics. See sheet 7.</t>
  </si>
  <si>
    <t xml:space="preserve">• The horticulture series is 2018-19 vintage (entry year 2019-20). It is 7 years old. Use it for spatial pattern, not current area.</t>
  </si>
  <si>
    <t xml:space="preserve">• Data quality flag: in the plantation production file the 'Pepper_tonnes' column reports 941,424 t for Karnataka, with Kodagu at 271,487 t and Chikkamagaluru at 257,896 t. India's entire pepper crop is roughly 65,000 t. Those are coffee districts and those look like coffee numbers. Treat that column as mislabelled or misaligned until you verify it against the source PDF. I have excluded it from sheet 6.</t>
  </si>
  <si>
    <t xml:space="preserve">Source</t>
  </si>
  <si>
    <t xml:space="preserve">Crops</t>
  </si>
  <si>
    <t xml:space="preserve">Granularity</t>
  </si>
  <si>
    <t xml:space="preserve">Access</t>
  </si>
  <si>
    <t xml:space="preserve">Detail</t>
  </si>
  <si>
    <t xml:space="preserve">URL</t>
  </si>
  <si>
    <t xml:space="preserve">Priority</t>
  </si>
  <si>
    <t xml:space="preserve">Karnataka Crop Survey / Bele Sameekshe</t>
  </si>
  <si>
    <t xml:space="preserve">EVERY crop — the survey is universal, not crop-restricted. Maize, turmeric, banana, all vegetables, all fruits, flowers, arecanut, coconut, coffee.</t>
  </si>
  <si>
    <t xml:space="preserve">Survey number + hissa, GPS-tagged, with a field photograph, EVERY SEASON</t>
  </si>
  <si>
    <t xml:space="preserve">Amber — public per-survey-number lookup; bulk needs MoU</t>
  </si>
  <si>
    <t xml:space="preserve">This is the answer to your question, and the only real one. Farmers and Private Resident enumerators walk every plot in the state each season and record the crop with a geotagged photo. It writes back into RTC Column 13. The state describes it as the single verified source of truth for farmer and crop data, shared with 'ecosystem partners like banks and insurance agencies'. VERIFIED LIVE: the portal is up and public (cropsurvey.karnataka.gov.in) but the landing page is a Year/Season selector whose dropdowns are populated by JavaScript, so no export endpoint is visible without a real browser session.</t>
  </si>
  <si>
    <t xml:space="preserve">https://cropsurvey.karnataka.gov.in/  •  Analytics front-end: https://kgis.ksrsac.in/cropanalysis/  •  Circulars: https://raitamitra.karnataka.gov.in/info-2/Crop+Survey+Scheme/en</t>
  </si>
  <si>
    <t xml:space="preserve">1 — pursue the MoU</t>
  </si>
  <si>
    <t xml:space="preserve">PMFBY Crop Cutting Experiment (CCE) results, Karnataka</t>
  </si>
  <si>
    <t xml:space="preserve">Insured CCE crops only — maize YES, paddy, ragi, jowar, pulses, oilseeds. NO horticulture (no banana, turmeric, vegetables, fruits, flowers).</t>
  </si>
  <si>
    <t xml:space="preserve">GRAM PANCHAYAT and HOBLI — genuinely sub-taluk, with named GP</t>
  </si>
  <si>
    <t xml:space="preserve">Open — data.gov.in API, no MoU</t>
  </si>
  <si>
    <t xml:space="preserve">THE BEST FREE SUB-TALUK CROP-LOCATION DATA I FOUND. Verified schema: district_name, taluk_name, gram_panchayat_or_hobli, hobli_name, gram_panchayat, crop_name, IRRIGATION_TYPE, no_cce_conducted, averageyieldperha. Note it carries an irrigation_type field too, so it links your two questions. Real values seen: hobli ATTIBELE1, JIGANI, SARJAPURA1; GP BALLURU; crops PADDY, RAGI. Coverage ~18 districts × Kharif/Rabi/Summer × 2016-17 to 2018-19, one resource per district-season. LIMITS: it is yield, not area — it tells you the crop is grown in that GP, not how much; and it is 7-8 years stale.</t>
  </si>
  <si>
    <t xml:space="preserve">Example (Bengaluru Urban Kharif 2018-19): https://api.data.gov.in/resource/26fa23d5-a3c7-46c2-8510-463bd1a87c59 — more UUIDs in sheet 5</t>
  </si>
  <si>
    <t xml:space="preserve">1 — free, sub-taluk, use immediately for maize</t>
  </si>
  <si>
    <t xml:space="preserve">Bhoomi RTC Column 13 (crop details)</t>
  </si>
  <si>
    <t xml:space="preserve">All crops, season-wise, per survey number</t>
  </si>
  <si>
    <t xml:space="preserve">Survey number</t>
  </si>
  <si>
    <t xml:space="preserve">Amber — per-record only, ~₹15-25</t>
  </si>
  <si>
    <t xml:space="preserve">The crop column of the RTC, populated from the Crop Survey. UNVERIFIED in this session — landrecords.karnataka.gov.in was unreachable. Independent caution from the Government of India's own land-records quality evaluation: crop details in Column 13 are 'often incorrect or not updated', and farmers surveyed said the RTC does not capture the cultivation column accurately. So: right shape, unreliable content. Use the Crop Survey directly rather than its RTC echo.</t>
  </si>
  <si>
    <t xml:space="preserve">https://landrecords.karnataka.gov.in/service2/RTC.aspx</t>
  </si>
  <si>
    <t xml:space="preserve">3</t>
  </si>
  <si>
    <t xml:space="preserve">FRUITS (Farmer Registration &amp; Unified beneficiary Information System)</t>
  </si>
  <si>
    <t xml:space="preserve">Crop details pulled in from the Crop Survey database</t>
  </si>
  <si>
    <t xml:space="preserve">Farmer FID linked to survey numbers</t>
  </si>
  <si>
    <t xml:space="preserve">Restricted — departmental / bank login only</t>
  </si>
  <si>
    <t xml:space="preserve">VERIFIED: the site is live and confirms FRUITS is the state farmer golden record built by DPAR e-Governance + NIC. But it publishes no schema, no reports, no API. Whether a crop-per-survey-number field is exposed is unconfirmed. Contact route is the e-Governance Department, M S Building, Bengaluru.</t>
  </si>
  <si>
    <t xml:space="preserve">https://fruits.karnataka.gov.in/</t>
  </si>
  <si>
    <t xml:space="preserve">4</t>
  </si>
  <si>
    <t xml:space="preserve">CHAMAN (satellite horticulture mapping, NRSC/MNCFC)</t>
  </si>
  <si>
    <t xml:space="preserve">BANANA, citrus and mango ONLY. Not turmeric, not flowers, not arecanut, not vegetables.</t>
  </si>
  <si>
    <t xml:space="preserve">Field-level polygons from Resourcesat-2 + Cartosat-1/LISS-IV</t>
  </si>
  <si>
    <t xml:space="preserve">View — geoportal only, no download or WMS advertised</t>
  </si>
  <si>
    <t xml:space="preserve">VERIFIED LIVE and public. Covers Karnataka districts (Ballari and Bengaluru named explicitly) alongside AP, TN, Telangana, Gujarat, Punjab, Bihar and UP. Also carries POI layers for fruit markets and cold storage, which is directly useful for a sourcing business. Of your six named crops it covers exactly one — banana — but for banana it is the only satellite product with government backing.</t>
  </si>
  <si>
    <t xml:space="preserve">https://bhuvan-app1.nrsc.gov.in/chaman/</t>
  </si>
  <si>
    <t xml:space="preserve">2 — for banana specifically</t>
  </si>
  <si>
    <t xml:space="preserve">Agmarknet / APMC daily arrivals and prices</t>
  </si>
  <si>
    <t xml:space="preserve">All — maize, turmeric, banana, every vegetable, every fruit, cut flowers (gladiolus etc.)</t>
  </si>
  <si>
    <t xml:space="preserve">APMC market — a point location, therefore a catchment proxy for where the crop is grown</t>
  </si>
  <si>
    <t xml:space="preserve">Open — via data.gov.in (agmarknet.gov.in itself blocks non-browser agents with 403)</t>
  </si>
  <si>
    <t xml:space="preserve">VERIFIED LIVE 17 Aug 2026. Resource 9ef84268-d588-465a-a308-a864a43d0070, 'Current Daily Price of Various Commodities from Various Markets'. Fields: state, district, market, commodity, variety, grade, arrival_date, min_price, max_price, modal_price. A live test with filters[state]=Karnataka&amp;filters[commodity]=Maize returned 11 records dated 17/08/2026 — e.g. Gadag district / Laxmeshwar APMC / Maize / Local / ₹2,501, with the statewide spread ₹1,900-2,711. IMPORTANT LIMITS: it is a DAILY SNAPSHOT with no history retained, and it carries PRICES ONLY, not arrival quantities. To build a time series you must snapshot it yourself daily going forward. Note filters use 'state', not 'state_name', and values are case-sensitive.</t>
  </si>
  <si>
    <t xml:space="preserve">https://api.data.gov.in/resource/9ef84268-d588-465a-a308-a864a43d0070</t>
  </si>
  <si>
    <t xml:space="preserve">1 — start snapshotting today, it is free and it is live</t>
  </si>
  <si>
    <t xml:space="preserve">Dataset</t>
  </si>
  <si>
    <t xml:space="preserve">Level</t>
  </si>
  <si>
    <t xml:space="preserve">Year</t>
  </si>
  <si>
    <t xml:space="preserve">UUID</t>
  </si>
  <si>
    <t xml:space="preserve">Notes</t>
  </si>
  <si>
    <t xml:space="preserve">Karnataka DES — Area under principal Horticulture crops, file 'b'</t>
  </si>
  <si>
    <t xml:space="preserve">TALUK (228)</t>
  </si>
  <si>
    <t xml:space="preserve">2018-19 (entry year 2019-20)</t>
  </si>
  <si>
    <t xml:space="preserve">BANANA, Mango, Lemon, Pineapple, Guava, Grapes</t>
  </si>
  <si>
    <t xml:space="preserve">bfc85e6a-7165-4758-9143-080db4fddfd1</t>
  </si>
  <si>
    <t xml:space="preserve">Open — data.gov.in API</t>
  </si>
  <si>
    <t xml:space="preserve">VERIFIED LIVE. Fields: kgistalukname, dist_code, taluk_code, entry_year, fruits_banana, fruits_mango, fruits_lemon, fruits_pineapple, fruits_guava, fruits_grapes. Area in hectares. THE dist_code AND taluk_code ARE KGIS CODES — they join directly to KGIS taluk polygons with no name matching. Row 1 is a state-total row with kgistalukname='NA'; drop it before aggregating.</t>
  </si>
  <si>
    <t xml:space="preserve">Karnataka DES — Horticulture area, file 'c'</t>
  </si>
  <si>
    <t xml:space="preserve">2018-19</t>
  </si>
  <si>
    <t xml:space="preserve">Sapota, Pomegranate, Papaya, Orange, Watermelon</t>
  </si>
  <si>
    <t xml:space="preserve">489411a3-b1d8-45b5-b2a8-91df86f1a23e</t>
  </si>
  <si>
    <t xml:space="preserve">Same structure as file b.</t>
  </si>
  <si>
    <t xml:space="preserve">Karnataka DES — Horticulture area, file 'd'</t>
  </si>
  <si>
    <t xml:space="preserve">Tomato, Brinjal, Cucumber, Beans, Clustered Beans, Cabbage, Ridge Gourd</t>
  </si>
  <si>
    <t xml:space="preserve">4543cdc5-6939-46cc-8c6c-142143ebad1e</t>
  </si>
  <si>
    <t xml:space="preserve">VERIFIED LIVE. Field ids: vegetables_tomoto, vegetables_brinjal, vegetables_cucumber, vegetables_beans, vegetables_custeredbeans, vegetables_cabbage, vegetables_ridgeguard. Note the misspellings ('tomoto', 'custeredbeans', 'ridgeguard') are in the API — use them verbatim.</t>
  </si>
  <si>
    <t xml:space="preserve">Karnataka DES — Horticulture area, file 'e'</t>
  </si>
  <si>
    <t xml:space="preserve">Radish, ONION, Beetroot, Carrot, Knol Khol, Okra, GREEN CHILLIES, Snake Gourd</t>
  </si>
  <si>
    <t xml:space="preserve">02ad6bf0-218a-401b-9e37-a3f5b699dbac</t>
  </si>
  <si>
    <t xml:space="preserve">VERIFIED LIVE. Field ids: vegetables_raddish, vegetables_onion, vegetables_beetroot, vegetables_caroot, vegetables_noolkol, vegetables_ladiesfinger, vegetables_greenchillies, vegetables_snakeguard. Onion is by far the biggest vegetable in Karnataka at 214,941 ha.</t>
  </si>
  <si>
    <t xml:space="preserve">Karnataka DES — Horticulture area, file 'f'</t>
  </si>
  <si>
    <t xml:space="preserve">Potato, Pumpkin, Cauliflower</t>
  </si>
  <si>
    <t xml:space="preserve">851b03af-a68e-4a72-b3de-efdec43ad49b</t>
  </si>
  <si>
    <t xml:space="preserve">Same structure.</t>
  </si>
  <si>
    <t xml:space="preserve">Karnataka DES — Production of PLANTATION crops</t>
  </si>
  <si>
    <t xml:space="preserve">TALUK + district rows (208)</t>
  </si>
  <si>
    <t xml:space="preserve">Coconut (thousand nuts), ARECANUT (processed t), Cardamom, Pepper, Cashewnut, Cocoa</t>
  </si>
  <si>
    <t xml:space="preserve">11654dc5-4d33-4c7d-96ba-ecfd013ec2e0</t>
  </si>
  <si>
    <t xml:space="preserve">VERIFIED LIVE. WARNING: the file mixes taluk rows with ALL-CAPS district rows — filter carefully. SECOND WARNING: the Pepper_tonnes column reports 941,424 t statewide with Kodagu 271,487 and Chikkamagaluru 257,896. India's whole pepper crop is ~65,000 t and those are coffee districts. That column looks like coffee, or the columns are shifted. Verify against the source before using.</t>
  </si>
  <si>
    <t xml:space="preserve">Karnataka DES — Production of important horticulture crops (Fruits)</t>
  </si>
  <si>
    <t xml:space="preserve">TALUK</t>
  </si>
  <si>
    <t xml:space="preserve">Banana, Mango, Lemon, Pineapple, Guava, Grapes, Sapota, Pomegranate, Papaya (tonnes)</t>
  </si>
  <si>
    <t xml:space="preserve">f4e1c769-949e-4b65-8fc7-fc3aa645c31e</t>
  </si>
  <si>
    <t xml:space="preserve">Production companion to the area files. Pair with file b/c to derive taluk yields.</t>
  </si>
  <si>
    <t xml:space="preserve">Crop Wise Irrigated Area under Land Use Statistics</t>
  </si>
  <si>
    <t xml:space="preserve">District × year × crop × season</t>
  </si>
  <si>
    <t xml:space="preserve">1998-99 to 2023-24</t>
  </si>
  <si>
    <t xml:space="preserve">MAIZE, rice, jowar, bajra, ragi, wheat, barley, pulses, sugarcane, cotton, groundnut, sunflower, soyabean, sesamum, tobacco, coffee, tea, fodder, other plantation crops. NO horticulture — no banana, turmeric, vegetables, fruits or flowers.</t>
  </si>
  <si>
    <t xml:space="preserve">0fb99c18-a1f7-46f0-b40d-ddffca021319 (India Data Portal CKAN)</t>
  </si>
  <si>
    <t xml:space="preserve">Open — no API key</t>
  </si>
  <si>
    <t xml:space="preserve">VERIFIED LIVE. 181,500 rows nationally; Karnataka 2022-23 = 1,240 rows = 40 crops × 31 districts. Fields: year, state_name, district_name, food_category, crop_type, sub_crop_type, crop_name, crop_code, season, area. Resource metadata confirms 'area' = IRRIGATED area under each crop, in hectares — not total cropped area. Server-side filters WORK on this CKAN endpoint (unlike data.gov.in). Sheet 6 has the real maize numbers.</t>
  </si>
  <si>
    <t xml:space="preserve">Karnataka Horticulture — District Vegetable Area/Production/Yield/Value</t>
  </si>
  <si>
    <t xml:space="preserve">District (30)</t>
  </si>
  <si>
    <t xml:space="preserve">2021</t>
  </si>
  <si>
    <t xml:space="preserve">Vegetables aggregate</t>
  </si>
  <si>
    <t xml:space="preserve">d6e5315d-d4a7-4f1f-ab23-c2adcac3e1e7</t>
  </si>
  <si>
    <t xml:space="preserve">Fields: Sl No, District Name, Area in Hectare, Production in MT, Yield MT/ha, Value in lakh Rupees. Aggregate 'vegetables', not per-crop.</t>
  </si>
  <si>
    <t xml:space="preserve">Karnataka Horticulture — Spice Crop APY (would contain TURMERIC)</t>
  </si>
  <si>
    <t xml:space="preserve">—</t>
  </si>
  <si>
    <t xml:space="preserve">Spices incl. turmeric</t>
  </si>
  <si>
    <t xml:space="preserve">ac1a1477-94c6-4620-89a2-7d5f7a3bd1f4</t>
  </si>
  <si>
    <t xml:space="preserve">Open but BROKEN</t>
  </si>
  <si>
    <t xml:space="preserve">TESTED AND EMPTY. Every record returns the literal string 'NA' for District Name, Area, Production and Value. The resource is published but unpopulated. Do not build on it. Turmeric is the biggest gap in this workbook — see sheet 7.</t>
  </si>
  <si>
    <t xml:space="preserve">Area and Production of Horticulture Crops by Districts</t>
  </si>
  <si>
    <t xml:space="preserve">District</t>
  </si>
  <si>
    <t xml:space="preserve">2014-15</t>
  </si>
  <si>
    <t xml:space="preserve">Horticulture aggregate</t>
  </si>
  <si>
    <t xml:space="preserve">96c4dcb8-47f1-444b-8809-825cb18af8ac</t>
  </si>
  <si>
    <t xml:space="preserve">Older, district level.</t>
  </si>
  <si>
    <t xml:space="preserve">National Horticulture Board statistics</t>
  </si>
  <si>
    <t xml:space="preserve">STATE only</t>
  </si>
  <si>
    <t xml:space="preserve">Annual</t>
  </si>
  <si>
    <t xml:space="preserve">All horticulture incl. banana, turmeric, flowers</t>
  </si>
  <si>
    <t xml:space="preserve">View — session-gated, no stable deep links</t>
  </si>
  <si>
    <t xml:space="preserve">nhb.gov.in/statistics.aspx loads and shows the menu including an interactive query module, but the data pages use encrypted '?enc=' tokens that expire — there are no stable URLs and the ones tested returned authorisation errors. NHB estimates are STATE level anyway, not district, so of limited use to you. agriwelfare.gov.in/en/StatHortEst (Horticultural Statistics at a Glance) returned 403.</t>
  </si>
  <si>
    <t xml:space="preserve">UPAg / data.desagri.gov.in</t>
  </si>
  <si>
    <t xml:space="preserve">Current</t>
  </si>
  <si>
    <t xml:space="preserve">All</t>
  </si>
  <si>
    <t xml:space="preserve">Restricted — login wall</t>
  </si>
  <si>
    <t xml:space="preserve">data.desagri.gov.in has no anonymous access. upag.gov.in is a JavaScript shell behind sign-in. midh.gov.in renders nothing without a browser. All three are dead ends for automated access.</t>
  </si>
  <si>
    <t xml:space="preserve">Forest land in Karnataka — read this before anything else</t>
  </si>
  <si>
    <t xml:space="preserve">THE ONE THING THAT WILL BURN YOU</t>
  </si>
  <si>
    <t xml:space="preserve">The Forest Survey of India defines forest cover as 'all lands more than one hectare in area with tree canopy density of more than 10 percent, IRRESPECTIVE OF OWNERSHIP AND LEGAL STATUS, and irrespective of whether the trees are orchards, bamboo or palm.' In Karnataka that means Kodagu and Chikkamagaluru coffee estates, Shivamogga and Dakshina Kannada arecanut gardens, and coastal coconut ALL register as 'forest cover' — in ISFR, in Hansen, in ESA WorldCover, in every satellite product. Conversely, a degraded or encroached Reserved Forest shows as bare ground while remaining legally forest. NO SATELLITE PRODUCT CAN TELL YOU LEGAL FOREST STATUS. For an agri business the second error — treating legal forest as farmland — is the one that causes losses.</t>
  </si>
  <si>
    <t xml:space="preserve">LEGAL forest = notified under the Indian Forest Act 1927 / Karnataka Forest Act 1963 as Reserved, Protected or Unclassed/Deemed Forest, plus protected areas under the Wildlife Protection Act 1972. Held by the Karnataka Forest Department. NOT published as a downloadable boundary layer.</t>
  </si>
  <si>
    <t xml:space="preserve">PHYSICAL forest cover = canopy ≥10% over ≥1 ha, regardless of ownership. Freely mappable from satellite. Says nothing about legality.</t>
  </si>
  <si>
    <t xml:space="preserve">KARNATAKA-SPECIFIC RISK: Karnataka's Expert Committee originally identified roughly 9.9 lakh ha of 'deemed forest'; the state later sought to declassify around 6.6 lakh ha, and the status of large tracts remains contested. Karnataka also has a notably low Forest Rights Act title-recognition rate relative to claims filed. Both mean substantial areas sit in genuine legal ambiguity between forest and cultivated land. No dataset will surface that — it is a question for a land lawyer, not a GIS layer.</t>
  </si>
  <si>
    <t xml:space="preserve">Type</t>
  </si>
  <si>
    <t xml:space="preserve">What</t>
  </si>
  <si>
    <t xml:space="preserve">India State of Forest Report (ISFR) 2023 — Volume II, state chapters</t>
  </si>
  <si>
    <t xml:space="preserve">Legal + physical statistics</t>
  </si>
  <si>
    <t xml:space="preserve">Karnataka chapter: Recorded Forest Area split into Reserved / Protected / Unclassed; forest cover as Very Dense (canopy ≥70%) / Moderately Dense (40-70%) / Open (10-40%) / Scrub (&lt;10%), DISTRICT-WISE for all 31 districts; change vs previous assessment; cover inside vs outside RFA; tree cover; growing stock; carbon; mangroves in Uttara Kannada, Dakshina Kannada and Udupi; bamboo; forest fire.</t>
  </si>
  <si>
    <t xml:space="preserve">Open — PDF</t>
  </si>
  <si>
    <t xml:space="preserve">http://fsi.nic.in/uploads/isfr2023/isfr_book_eng-vol-2_2023.pdf  (Vol I: .../isfr_book_eng-vol-1_2023.pdf)</t>
  </si>
  <si>
    <t xml:space="preserve">VERIFIED: ISFR 2023 is still the latest edition as of Aug 2026 — there is no ISFR 2025. The biennial cycle has slipped (2023 was released Dec 2024). District tables are in the PDF only; you will be scraping.</t>
  </si>
  <si>
    <t xml:space="preserve">FSI forest cover GeoTIFF / shapefile layers</t>
  </si>
  <si>
    <t xml:space="preserve">Physical</t>
  </si>
  <si>
    <t xml:space="preserve">The actual raster behind ISFR</t>
  </si>
  <si>
    <t xml:space="preserve">Restricted — not a public download</t>
  </si>
  <si>
    <t xml:space="preserve">Request via https://fsi.nic.in/forest-cover-data or the FSI Decision Support System geoportal https://fsigeoportal.gov.in/dss/</t>
  </si>
  <si>
    <t xml:space="preserve">FSI's own metadata states plainly: 'Forest Cover Maps are provided on requests.' The DSS geoportal has an EXPIRED TLS CERTIFICATE and is historically login-gated for state forest departments. Your nearest access point is the FSI Regional Office (Southern), 8th Floor B-Wing, Kendriya Sadan, 2nd Block, Koramangala, Bengaluru 560034, rdsz@fsi.nic.in. Expect a data-sharing agreement; expect refusal of the RFA boundary layer specifically. Methodology limits worth knowing: LISS-III based, features under 23.5 m not discernible, minimum mapping unit 1 ha.</t>
  </si>
  <si>
    <t xml:space="preserve">FSI Anavaran — deforestation alert system</t>
  </si>
  <si>
    <t xml:space="preserve">Physical, change</t>
  </si>
  <si>
    <t xml:space="preserve">Near-real-time deforestation alert polygons, national, filterable to Karnataka. 6,338 alerts in 2024; 6,013 in Jan-Oct 2025.</t>
  </si>
  <si>
    <t xml:space="preserve">Open — genuine free download, no registration seen</t>
  </si>
  <si>
    <t xml:space="preserve">https://fsi.nic.in/deforestation-alert-system  •  https://fsi.nic.in/uploads/anavaran/anavaran2025.pdf | .xlsx | .zip  (also anavaran2024.*)</t>
  </si>
  <si>
    <t xml:space="preserve">Grab the .zip — it carries the alert geometry. This is the closest thing FSI publishes to an open geospatial forest product, and it is genuinely useful. Also: FSI forest fire alerts at https://fsiforestfire.gov.in/ with free SMS/email subscription down to beat level.</t>
  </si>
  <si>
    <t xml:space="preserve">KGIS — Karnataka Forest Layers sector</t>
  </si>
  <si>
    <t xml:space="preserve">Legal (best realistic route)</t>
  </si>
  <si>
    <t xml:space="preserve">Expected: forest boundary, circle / division / range / beat / section boundaries, protected areas, forest blocks and compartments, forest type, plantations, fire points. NOT VERIFIED — kgis.ksrsac.in/kgis/layers.aspx could not be fetched.</t>
  </si>
  <si>
    <t xml:space="preserve">MoU — viewer is browse-only, bulk needs a KSRSAC data request</t>
  </si>
  <si>
    <t xml:space="preserve">https://kgis.ksrsac.in/kgis/  •  layers: https://kgis.ksrsac.in/kgis/layers.aspx  •  kgissupport@ksrsac.in</t>
  </si>
  <si>
    <t xml:space="preserve">WHY THIS IS YOUR BEST OPTION: KGIS is the only platform carrying BOTH the forest layers AND the cadastral survey-number parcel layer in one coordinate framework. Overlaying forest boundary against survey numbers is exactly your requirement and KGIS has already done the hard part. KSRSAC has a published data pricing schedule. Ask for forest + cadastral together in one request.</t>
  </si>
  <si>
    <t xml:space="preserve">Karnataka Forest Department — Working Plans</t>
  </si>
  <si>
    <t xml:space="preserve">Legal (authoritative)</t>
  </si>
  <si>
    <t xml:space="preserve">Each territorial division's Working Plan contains COMPARTMENT- and BLOCK-level maps with legal status. This is the real legal boundary artefact.</t>
  </si>
  <si>
    <t xml:space="preserve">MoU / written request</t>
  </si>
  <si>
    <t xml:space="preserve">https://aranya.gov.in/  (legacy CMS: https://aranya.gov.in/aranyacms/English/Home.aspx)</t>
  </si>
  <si>
    <t xml:space="preserve">Ask the APCCF (Working Plan &amp; Land Records), Aranya Bhavan, Malleshwaram, Bengaluru — and ask for the division-level GIS LAYER, not the PDF. NOTE: karnatakaforest.gov.in and aranya.karnataka.gov.in are DEAD domains (DNS failure). The live domain is aranya.gov.in.</t>
  </si>
  <si>
    <t xml:space="preserve">PARIVESH — forest clearance proposals</t>
  </si>
  <si>
    <t xml:space="preserve">Legal (free, precise, incremental)</t>
  </si>
  <si>
    <t xml:space="preserve">Every proposal to divert forest land for non-forest use must upload a KML of the diversion area. The site inspection report states the legal class of the land (Reserved / Protected / Deemed).</t>
  </si>
  <si>
    <t xml:space="preserve">Open — public proposal search (but JS-only, needs a browser)</t>
  </si>
  <si>
    <t xml:space="preserve">https://parivesh.nic.in/</t>
  </si>
  <si>
    <t xml:space="preserve">UNIQUELY USEFUL AND ALMOST NOBODY USES IT THIS WAY: each FC proposal KML is a geo-referenced, government-certified assertion that a specific polygon is legally forest. Accumulating Karnataka FC proposals builds you a growing, free, precise sample of real legal forest boundary. It is a sample, not a wall-to-wall layer. The site is a JavaScript single-page app so it cannot be scraped server-side; drive it with a browser.</t>
  </si>
  <si>
    <t xml:space="preserve">Protected areas — WDPA / Protected Planet</t>
  </si>
  <si>
    <t xml:space="preserve">Legal</t>
  </si>
  <si>
    <t xml:space="preserve">National parks, wildlife sanctuaries, tiger reserves</t>
  </si>
  <si>
    <t xml:space="preserve">Restricted — MAJOR CAVEAT</t>
  </si>
  <si>
    <t xml:space="preserve">https://www.protectedplanet.net/country/IND</t>
  </si>
  <si>
    <t xml:space="preserve">VERIFIED (WDPA release August 2026): the India page states only 90 protected areas are publicly viewable and that data on roughly 900 protected areas is NOT publicly available — the Government of India has restricted redistribution. So you get Bandipur, Nagarahole, Bhadra, Kali/Dandeli-Anshi, BRT, Kudremukh and the like, but NOT a complete Karnataka PA layer. Licence: free for non-commercial analysis; COMMERCIAL USE AND REDISTRIBUTION REQUIRE WRITTEN PERMISSION FROM UNEP-WCMC. Tabular alternative: Wildlife Institute of India National Wildlife Database.</t>
  </si>
  <si>
    <t xml:space="preserve">NRSC Bhuvan LULC 1:50,000</t>
  </si>
  <si>
    <t xml:space="preserve">Physical — but the best at separating tree crops</t>
  </si>
  <si>
    <t xml:space="preserve">Forest classes split into Evergreen/Semi-evergreen, Deciduous, Forest Plantation, Scrub Forest, Swamp/Mangrove — AND Plantation / Agriculture-Plantation as a SEPARATE class from Forest.</t>
  </si>
  <si>
    <t xml:space="preserve">Free-reg — Bhuvan login</t>
  </si>
  <si>
    <t xml:space="preserve">https://bhuvan-app3.nrsc.gov.in/data/download/index.php  •  thematic: https://bhuvan-app1.nrsc.gov.in/thematic</t>
  </si>
  <si>
    <t xml:space="preserve">THE ONLY INDIAN PUBLIC PRODUCT THAT ATTEMPTS TO SEPARATE TREE CROPS FROM NATURAL FOREST. ~23.5 m effective, MMU ~2.25 ha at 1:50k. Use as an independent cross-check on the global products. Licence: free with attribution to NRSC/ISRO; check terms before commercial redistribution.</t>
  </si>
  <si>
    <t xml:space="preserve">Forest Rights Act (FRA) claims</t>
  </si>
  <si>
    <t xml:space="preserve">Legal, contested</t>
  </si>
  <si>
    <t xml:space="preserve">Individual and Community Forest Rights claims, titles distributed, area recognised — state and sometimes district level counts</t>
  </si>
  <si>
    <t xml:space="preserve">Open — but tabular only, NO spatial data exists publicly</t>
  </si>
  <si>
    <t xml:space="preserve">https://tribal.nic.in/FRA.aspx  (monthly progress reports archived 2017-2025, PDF/Excel)</t>
  </si>
  <si>
    <t xml:space="preserve">There is NO public GIS layer of FRA claim or title boundaries, nationally or for Karnataka. Also: Van Panchayats do not exist in Karnataka — that institution is specific to Uttarakhand. Karnataka's equivalent is JFPM through Village Forest Committees, whose boundaries KFD holds and does not publish.</t>
  </si>
  <si>
    <t xml:space="preserve">e-Green Watch (CAMPA / compensatory afforestation)</t>
  </si>
  <si>
    <t xml:space="preserve">Legal-adjacent</t>
  </si>
  <si>
    <t xml:space="preserve">Plantation and compensatory afforestation works; plots are geo-tagged in the system</t>
  </si>
  <si>
    <t xml:space="preserve">Open — aggregate only</t>
  </si>
  <si>
    <t xml:space="preserve">https://egreenwatch.nic.in/</t>
  </si>
  <si>
    <t xml:space="preserve">VERIFIED LIVE. Publishes state-level CAMPA project counts, areas and fund releases. Individual plantation plots ARE geo-tagged internally but no public map, KML export or bulk download was found. Worth a manual look — if plot polygons are exposed, they directly signal land the state treats as forest.</t>
  </si>
  <si>
    <t xml:space="preserve">Target</t>
  </si>
  <si>
    <t xml:space="preserve">Separability</t>
  </si>
  <si>
    <t xml:space="preserve">Why</t>
  </si>
  <si>
    <t xml:space="preserve">Method</t>
  </si>
  <si>
    <t xml:space="preserve">Assets</t>
  </si>
  <si>
    <t xml:space="preserve">MAIZE</t>
  </si>
  <si>
    <t xml:space="preserve">GOOD — the easiest of your crops</t>
  </si>
  <si>
    <t xml:space="preserve">Tall C4 cereal with a distinctive, fast NDVI rise and a sharp senescence drop. Kharif maize in Davanagere/Haveri/Belagavi and rabi/summer maize under irrigation have clearly different phenology curves. Published South Indian work (Telangana, semi-arid Deccan, structurally similar to interior Karnataka) reached overall kappa 0.82-0.92 in rabi with Sentinel-1 + Sentinel-2 fusion — but note irrigated maize/vegetables specifically scored F-scores as low as 0.03-0.68 in that study, far worse than flooded rice. Maize is separable from rice and cotton; it is harder to separate from sorghum and from other irrigated row crops.</t>
  </si>
  <si>
    <t xml:space="preserve">Sentinel-2 NDVI/EVI time series over the full season + Sentinel-1 VV/VH. Classify per parcel, not per pixel.</t>
  </si>
  <si>
    <t xml:space="preserve">COPERNICUS/S2_SR_HARMONIZED, COPERNICUS/S1_GRD, GOOGLE/SATELLITE_EMBEDDING/V1/ANNUAL</t>
  </si>
  <si>
    <t xml:space="preserve">BANANA</t>
  </si>
  <si>
    <t xml:space="preserve">GOOD — and there is a government product</t>
  </si>
  <si>
    <t xml:space="preserve">Evergreen, year-round high biomass, distinctive near-constant high NDVI with no senescence, planted in regular rows. Stands out sharply against annual crops. Also has a characteristic SAR signature from the large leaf structure.</t>
  </si>
  <si>
    <t xml:space="preserve">Year-round NDVI persistence (no senescence trough) + SAR texture + row regularity from high-resolution canopy structure. CHAMAN already does this officially for banana in Karnataka.</t>
  </si>
  <si>
    <t xml:space="preserve">CHAMAN geoportal (banana, citrus, mango) https://bhuvan-app1.nrsc.gov.in/chaman/ ; plus S2 time series</t>
  </si>
  <si>
    <t xml:space="preserve">TURMERIC</t>
  </si>
  <si>
    <t xml:space="preserve">POOR to MODERATE — expect difficulty</t>
  </si>
  <si>
    <t xml:space="preserve">A 7-9 month rhizome crop with a canopy that is spectrally close to ginger, and to other broadleaf irrigated row crops. It is grown in small plots (often under 1 ha) in Chamarajanagar and the Belagavi/Nippani belt, frequently intercropped. Small plot size plus intercropping plus spectral similarity to ginger is close to a worst case for 10 m optical classification. No published India-wide turmeric map exists that I could find.</t>
  </si>
  <si>
    <t xml:space="preserve">If you attempt it: long-duration greenness (Jun-Feb) distinguishes it from short-season vegetables; you will need dense local ground truth and should expect to work at the village level rather than the parcel level. Honestly, APMC arrivals at Nippani/Chamarajanagar plus the Crop Survey will beat a satellite model here.</t>
  </si>
  <si>
    <t xml:space="preserve">No dedicated product. S2 time series + local labels only.</t>
  </si>
  <si>
    <t xml:space="preserve">VEGETABLES (tomato, onion, brinjal, chilli, okra…)</t>
  </si>
  <si>
    <t xml:space="preserve">POOR at species level, MODERATE as a class</t>
  </si>
  <si>
    <t xml:space="preserve">Short cycles (60-120 days), multiple plantings per year, very small plots, high intra-class variability. Distinguishing tomato from brinjal from okra at 10 m over 1 ha plots is not realistically achievable. Distinguishing 'short-cycle irrigated vegetable' from cereals and plantations IS achievable — the rapid, repeated, out-of-phase green-up cycles are a distinctive signature. ONION is the exception: 214,941 ha in Karnataka, grown in large contiguous blocks in Bagalkote/Gadag/Chitradurga, and more tractable than the rest.</t>
  </si>
  <si>
    <t xml:space="preserve">Detect cropping FREQUENCY and cycle length rather than species. Combine with the DES taluk area data to allocate the detected 'vegetable' class to likely species by taluk.</t>
  </si>
  <si>
    <t xml:space="preserve">COPERNICUS/S2_SR_HARMONIZED (5-day), GOOGLE/DYNAMICWORLD/V1 (near-real-time crops probability)</t>
  </si>
  <si>
    <t xml:space="preserve">FRUITS / ORCHARDS (mango, sapota, pomegranate, guava, citrus)</t>
  </si>
  <si>
    <t xml:space="preserve">GOOD as orchard, MODERATE by species</t>
  </si>
  <si>
    <t xml:space="preserve">Perennial woody canopy with year-round leaf-on signal, planted at regular spacing. Orchard vs annual crop is easy. Mango vs sapota vs guava is hard spectrally — but ORCHARD GEOMETRY helps enormously: tree spacing differs systematically by species (mango ~10 m, pomegranate ~4 m, guava ~5 m), and a 1 m canopy height model resolves individual crowns.</t>
  </si>
  <si>
    <t xml:space="preserve">Canopy height + crown spacing analysis at 1 m, combined with S2 phenology. This is where the Meta canopy height model earns its keep.</t>
  </si>
  <si>
    <t xml:space="preserve">projects/sat-io/open-datasets/facebook/meta-canopy-height (1 m), users/nlang/ETH_GlobalCanopyHeight_2020_10m_v1, CHAMAN for mango and citrus</t>
  </si>
  <si>
    <t xml:space="preserve">FLOWERS (rose, chrysanthemum, marigold, jasmine, gerbera)</t>
  </si>
  <si>
    <t xml:space="preserve">VERY POOR</t>
  </si>
  <si>
    <t xml:space="preserve">Tiny plots, much of the high-value production is under POLYHOUSE or shade net (Chikkaballapura, Kolar, Doddaballapura, Bengaluru Rural), and protected cultivation is spectrally a plastic/shade structure, not a crop. Open-field marigold and chrysanthemum look like any other short-cycle irrigated broadleaf. There is no realistic path to a satellite flower map at useful accuracy.</t>
  </si>
  <si>
    <t xml:space="preserve">Detect POLYHOUSES instead — they are bright, geometric, high-reflectance rectangles that are genuinely detectable at 10 m and very detectable at sub-metre. Polyhouse density is an excellent proxy for high-value floriculture and protected vegetable cultivation, and it identifies exactly the commercially serious growers. Pair with APMC cut-flower arrivals.</t>
  </si>
  <si>
    <t xml:space="preserve">High-res commercial imagery or S2 for polyhouse detection; no flower-specific product exists</t>
  </si>
  <si>
    <t xml:space="preserve">PLANTATIONS (arecanut, coconut, coffee)</t>
  </si>
  <si>
    <t xml:space="preserve">GOOD as a class, and commercially important for you</t>
  </si>
  <si>
    <t xml:space="preserve">Dense evergreen canopy that every global forest product will call 'forest'. Arecanut has a distinctive narrow-crown regular grid; coconut has large, widely spaced star-shaped crowns that are individually countable at sub-metre resolution; coffee sits under a shade-tree canopy and is close to indistinguishable from natural forest spectrally.</t>
  </si>
  <si>
    <t xml:space="preserve">Crown spacing regularity from 1 m canopy height is the discriminator. NRSC LULC50K's separate Plantation class is the best official cross-check. JRC/GFC2020 explicitly EXCLUDES agricultural plantations, so 'tree canopy present but not GFC2020 forest' is a useful plantation flag.</t>
  </si>
  <si>
    <t xml:space="preserve">JRC/GFC2020/V3 (10 m, excludes agri-plantations), JRC/GFC2020_subtypes/V1 (20 = planted forest), NRSC LULC50K, Meta 1 m canopy height</t>
  </si>
  <si>
    <t xml:space="preserve">FOREST vs FARMLAND (the boundary question)</t>
  </si>
  <si>
    <t xml:space="preserve">GOOD physically, IMPOSSIBLE legally</t>
  </si>
  <si>
    <t xml:space="preserve">See sheet 3. Physical tree cover is easy; legal forest status cannot be inferred from imagery at all.</t>
  </si>
  <si>
    <t xml:space="preserve">Use JRC/GFC2020/V3 as the primary forest mask because it already excludes agricultural plantations — that single design choice solves most of your coffee/areca/coconut false-positive problem. Use Dynamic World's separate 'trees' and 'crops' probability bands to flag genuinely ambiguous parcels rather than forcing a binary; that ambiguity is itself information. Never use Hansen 'loss' as deforestation in Karnataka — areca and coffee shade-tree replanting, eucalyptus and acacia harvest rotations and rubber felling all register as loss.</t>
  </si>
  <si>
    <t xml:space="preserve">JRC/GFC2020/V3, JRC/GFC2020_subtypes/V1, GOOGLE/DYNAMICWORLD/V1, WRI/SBTN/naturalLands/v1_1/2020, UMD/hansen/global_forest_change_2025_v1_13</t>
  </si>
  <si>
    <t xml:space="preserve">Name</t>
  </si>
  <si>
    <t xml:space="preserve">Status</t>
  </si>
  <si>
    <t xml:space="preserve">Call</t>
  </si>
  <si>
    <t xml:space="preserve">data.gov.in resource API (the workhorse)</t>
  </si>
  <si>
    <t xml:space="preserve">VERIFIED LIVE 17 Aug 2026</t>
  </si>
  <si>
    <t xml:space="preserve">https://api.data.gov.in/resource/&lt;UUID&gt;?api-key=&lt;KEY&gt;&amp;format=json|csv|xml&amp;limit=N&amp;offset=M&amp;sort[&lt;field&gt;]=desc&amp;filters[&lt;field&gt;]=&lt;value&gt;</t>
  </si>
  <si>
    <t xml:space="preserve">CRITICAL GOTCHA I HIT: the widely-circulated public demo key 579b464db66ec23bdd000001cdd3946e44ce4aad7209ff7b23ac571b works, but CAPS EVERY RESPONSE AT 10 RECORDS regardless of the limit you pass. Pulling a 228-row taluk file therefore takes 23 calls on the demo key. Register your own free key at data.gov.in and this goes away. sort[field]=desc DOES work — that is how I got the top-taluk tables in sheet 6 in one call each. Catalogue search: https://api.data.gov.in/lists?api-key=&lt;KEY&gt;&amp;format=json&amp;limit=60&amp;filters[title]=&lt;terms&gt; — note the title filter is a FUZZY relevance search over ~198k resources, not a strict filter, so page it and filter client-side.</t>
  </si>
  <si>
    <t xml:space="preserve">Karnataka DES taluk horticulture series — all UUIDs</t>
  </si>
  <si>
    <t xml:space="preserve">VERIFIED LIVE</t>
  </si>
  <si>
    <t xml:space="preserve">Area (hectares), 228 taluks, 2018-19:  b = bfc85e6a-7165-4758-9143-080db4fddfd1 (banana, mango, lemon, pineapple, guava, grapes)  |  c = 489411a3-b1d8-45b5-b2a8-91df86f1a23e (sapota, pomegranate, papaya, orange, watermelon)  |  d = 4543cdc5-6939-46cc-8c6c-142143ebad1e (tomato, brinjal, cucumber, beans, cluster beans, cabbage, ridge gourd)  |  e = 02ad6bf0-218a-401b-9e37-a3f5b699dbac (radish, onion, beetroot, carrot, knol khol, okra, green chillies, snake gourd)  |  f = 851b03af-a68e-4a72-b3de-efdec43ad49b (potato, pumpkin, cauliflower)  ||  Production: 4_4.9 plantation = 11654dc5-4d33-4c7d-96ba-ecfd013ec2e0, 4_4.10 fruits = f4e1c769-949e-4b65-8fc7-fc3aa645c31e</t>
  </si>
  <si>
    <t xml:space="preserve">Publisher: Planning and Statistics Department / Directorate of Economics &amp; Statistics, Karnataka. File 'b' carries dist_code and taluk_code as KGIS codes — join key to KGIS boundaries. The other files key on kgistalukname only, so join them to 'b' on name first to inherit the codes. Row 1 of each file is a state total with kgistalukname = 'NA' or 'State total' — drop it.</t>
  </si>
  <si>
    <t xml:space="preserve">India Data Portal CKAN — Crop Wise Irrigated Area</t>
  </si>
  <si>
    <t xml:space="preserve">https://ckandev.indiadataportal.com/api/3/action/datastore_search?resource_id=0fb99c18-a1f7-46f0-b40d-ddffca021319&amp;filters={"state_name":"Karnataka","year":"2022-2023","crop_name":"Maize"}&amp;limit=100</t>
  </si>
  <si>
    <t xml:space="preserve">No API key needed and limit=100 actually works, unlike data.gov.in's demo key. Server-side filters work. URL-encode the filters JSON. Full CSV: https://ckandev.indiadataportal.com/dataset/8742251a-5ca1-483d-936a-f68306663cc9/resource/0fb99c18-a1f7-46f0-b40d-ddffca021319/download/crop-wise-irrigated-area.csv</t>
  </si>
  <si>
    <t xml:space="preserve">APMC daily prices (all your crops, live today)</t>
  </si>
  <si>
    <t xml:space="preserve">https://api.data.gov.in/resource/9ef84268-d588-465a-a308-a864a43d0070?api-key=&lt;KEY&gt;&amp;format=json&amp;filters[state]=Karnataka&amp;filters[commodity]=Maize</t>
  </si>
  <si>
    <t xml:space="preserve">Fields: state, district, market, commodity, variety, grade, arrival_date, min_price, max_price, modal_price. Filter key is 'state' NOT 'state_name', and values are case-sensitive. DAILY SNAPSHOT ONLY — no history is retained, so snapshot it yourself daily. Prices only, no arrival quantities. Historical per-commodity yearly files exist separately, e.g. Turmeric 2023 = 4a14a377-eb32-46f7-82c8-db6545f65932, Turmeric raw 2023 = 766ddd21-e10c-4048-9289-1b4ec1ac058b, Banana 2023 = b144e73e-5141-476f-8cf3-b70e14972a35, Banana-Green 2023 = afcd692b-8396-4742-b3ee-79713d1e1061, Gladiolus cut flower 2023 = beabd4a0-9c1c-45a4-8187-9465e0a6eb8d, Jack Fruit 2023 = 3289e81c-3918-4145-93dc-e745c1a2eb62, Dry Chillies 2023 = 5a088a12-08bc-41f8-8896-9885a86ecb17. NOTE: agmarknet.gov.in itself returns 403 to non-browser agents — go through data.gov.in.</t>
  </si>
  <si>
    <t xml:space="preserve">PMFBY Crop Cutting Experiments — GRAM PANCHAYAT level crop + irrigation type</t>
  </si>
  <si>
    <t xml:space="preserve">VERIFIED schema</t>
  </si>
  <si>
    <t xml:space="preserve">https://api.data.gov.in/resource/26fa23d5-a3c7-46c2-8510-463bd1a87c59?api-key=&lt;KEY&gt;&amp;format=json  (Bengaluru Urban, Kharif 2018-19)</t>
  </si>
  <si>
    <t xml:space="preserve">Other confirmed Karnataka UUIDs — Davangere Kharif 2018-19: 47c80296-eb6f-4da6-b4c0-9fd39c9a6a69 | Belagavi Kharif 2018-19: 0e7e3d7f-765c-42ed-947f-7828299a9100 | Chitradurga Kharif 2018-19: d9d2aacc-3c2f-4707-8600-7d761f07b1b7 | Haveri Summer 2018-19: 9ac8847c-739b-49bf-989c-a33385877a2f | Kolar Kharif 2018-19: 5d7111c6-f06b-4307-b006-c995007d243e | Shivamogga Rabi 2018-19: 316b1c4a-3ebd-4071-b7ce-08f80316ab6f | Mysuru Rabi 2018-19: 6b6ab848-48ac-4b39-b8cf-d14c12138a8a | Chamarajanagar Kharif 2018-19: d3db2fab-e999-4782-afde-c5d2c9ed5458 | Chikkamagaluru Kharif 2018-19: d8d089eb-c47a-4a6c-867e-e47760badcbf. Fields include gram_panchayat, hobli_name, crop_name AND irrigation_type — it links your crop question to your irrigation question.</t>
  </si>
  <si>
    <t xml:space="preserve">Google Earth Engine — crop and forest assets</t>
  </si>
  <si>
    <t xml:space="preserve">Verified against the live GEE catalogue</t>
  </si>
  <si>
    <t xml:space="preserve">Forest: JRC/GFC2020/V3 (10 m, EXCLUDES agri-plantations) | JRC/GFC2020_subtypes/V1 (1=natural regen, 10=primary, 20=planted) | WRI/SBTN/naturalLands/v1_1/2020 | UMD/hansen/global_forest_change_2025_v1_13 (CURRENT version) | ESA/WorldCover/v200 (10=tree cover, 40=cropland, 95=mangrove) | GOOGLE/DYNAMICWORLD/V1 | LANDSAT/MANGROVE_FORESTS  ||  Canopy structure: projects/sat-io/open-datasets/facebook/meta-canopy-height (1 m) | users/nlang/ETH_GlobalCanopyHeight_2020_10m_v1  ||  Crop: COPERNICUS/S2_SR_HARMONIZED | COPERNICUS/S1_GRD | GOOGLE/SATELLITE_EMBEDDING/V1/ANNUAL</t>
  </si>
  <si>
    <t xml:space="preserve">Hansen v1.12 (…2024_v1_12) is DEPRECATED — use v1_13. JRC Tropical Moist Forest paths follow projects/JRC/TMF/v1_&lt;year&gt;/… but the exact version suffix could not be confirmed; list projects/JRC/TMF in the Code Editor first. Also note ESA CCI Land Cover and ESRI 10 m annual land cover are community-catalogue (projects/sat-io/…) mirrors, not official GEE assets.</t>
  </si>
  <si>
    <t xml:space="preserve">Global Nature Watch (formerly Global Forest Watch) — NOTE THE REBRAND</t>
  </si>
  <si>
    <t xml:space="preserve">VERIFIED — globalforestwatch.org now 302-redirects</t>
  </si>
  <si>
    <t xml:space="preserve">https://globalnaturewatch.org/  •  map: /map  •  dashboards: /dashboards  •  developers: /help/developers/</t>
  </si>
  <si>
    <t xml:space="preserve">GFW became Global Nature Watch. The site confirms 'Your workflows will continue to be supported.' The Data API at https://data-api.globalforestwatch.org (GET /datasets, GET /dataset/{name}/{version}/query?sql=…, free key via POST /auth/apikey) should still work but EXPECT ENDPOINTS TO MIGRATE to a globalnaturewatch.org domain — confirm the base URL in the developer docs before building against it. Alert layers: GLAD-L (30 m), GLAD-S2 (10 m), RADD (10 m radar, GEE projects/radar-wur/raddalert/v1 — confirm Karnataka is in the RADD footprint, historically it was not). Licensing is PER-DATASET, not blanket CC-BY.</t>
  </si>
  <si>
    <t xml:space="preserve">Karnataka crop data — pulled live, 17 August 2026</t>
  </si>
  <si>
    <t xml:space="preserve">Every number below came out of a live API call today. Maize is IRRIGATED area from Land Use Statistics 2022-23. Horticulture is total area from the Karnataka DES taluk series, 2018-19. Plantation is production, 2018-19. The 'Pepper' column of the plantation file is excluded here because its values are implausible — see the README. Totals below are FORMULAS.</t>
  </si>
  <si>
    <t xml:space="preserve">MAIZE — irrigated area by district, 2022-23 (hectares)</t>
  </si>
  <si>
    <t xml:space="preserve">Place</t>
  </si>
  <si>
    <t xml:space="preserve">Crop</t>
  </si>
  <si>
    <t xml:space="preserve">Value</t>
  </si>
  <si>
    <t xml:space="preserve">Unit</t>
  </si>
  <si>
    <t xml:space="preserve">Bagalkote</t>
  </si>
  <si>
    <t xml:space="preserve">Maize</t>
  </si>
  <si>
    <t xml:space="preserve">hectares</t>
  </si>
  <si>
    <t xml:space="preserve">district</t>
  </si>
  <si>
    <t xml:space="preserve">Ballari</t>
  </si>
  <si>
    <t xml:space="preserve">Belagavi</t>
  </si>
  <si>
    <t xml:space="preserve">Bengaluru Rural</t>
  </si>
  <si>
    <t xml:space="preserve">Bengaluru South</t>
  </si>
  <si>
    <t xml:space="preserve">Bengaluru Urban</t>
  </si>
  <si>
    <t xml:space="preserve">Bidar</t>
  </si>
  <si>
    <t xml:space="preserve">Chamarajanagar</t>
  </si>
  <si>
    <t xml:space="preserve">Chikkaballapura</t>
  </si>
  <si>
    <t xml:space="preserve">Chikkamagaluru</t>
  </si>
  <si>
    <t xml:space="preserve">Chitradurga</t>
  </si>
  <si>
    <t xml:space="preserve">Dakshina Kannada</t>
  </si>
  <si>
    <t xml:space="preserve">Davanagere</t>
  </si>
  <si>
    <t xml:space="preserve">Dharwad</t>
  </si>
  <si>
    <t xml:space="preserve">Gadag</t>
  </si>
  <si>
    <t xml:space="preserve">Hassan</t>
  </si>
  <si>
    <t xml:space="preserve">Haveri</t>
  </si>
  <si>
    <t xml:space="preserve">Kalaburagi</t>
  </si>
  <si>
    <t xml:space="preserve">Kodagu</t>
  </si>
  <si>
    <t xml:space="preserve">Kolar</t>
  </si>
  <si>
    <t xml:space="preserve">Koppal</t>
  </si>
  <si>
    <t xml:space="preserve">Mandya</t>
  </si>
  <si>
    <t xml:space="preserve">Mysuru</t>
  </si>
  <si>
    <t xml:space="preserve">Raichur</t>
  </si>
  <si>
    <t xml:space="preserve">Shivamogga</t>
  </si>
  <si>
    <t xml:space="preserve">Tumakuru</t>
  </si>
  <si>
    <t xml:space="preserve">Udupi</t>
  </si>
  <si>
    <t xml:space="preserve">Uttara Kannada</t>
  </si>
  <si>
    <t xml:space="preserve">Vijayanagara</t>
  </si>
  <si>
    <t xml:space="preserve">Vijayapura</t>
  </si>
  <si>
    <t xml:space="preserve">Yadgir</t>
  </si>
  <si>
    <t xml:space="preserve">KARNATAKA TOTAL</t>
  </si>
  <si>
    <t xml:space="preserve">HORTICULTURE — Karnataka state totals, 2018-19 (hectares)</t>
  </si>
  <si>
    <t xml:space="preserve">Karnataka</t>
  </si>
  <si>
    <t xml:space="preserve">Banana</t>
  </si>
  <si>
    <t xml:space="preserve">state</t>
  </si>
  <si>
    <t xml:space="preserve">Mango</t>
  </si>
  <si>
    <t xml:space="preserve">Lemon</t>
  </si>
  <si>
    <t xml:space="preserve">Pineapple</t>
  </si>
  <si>
    <t xml:space="preserve">Guava</t>
  </si>
  <si>
    <t xml:space="preserve">Grapes</t>
  </si>
  <si>
    <t xml:space="preserve">Tomato</t>
  </si>
  <si>
    <t xml:space="preserve">Brinjal</t>
  </si>
  <si>
    <t xml:space="preserve">Cucumber</t>
  </si>
  <si>
    <t xml:space="preserve">Beans</t>
  </si>
  <si>
    <t xml:space="preserve">Clustered Beans</t>
  </si>
  <si>
    <t xml:space="preserve">Cabbage</t>
  </si>
  <si>
    <t xml:space="preserve">Ridge Gourd</t>
  </si>
  <si>
    <t xml:space="preserve">Radish</t>
  </si>
  <si>
    <t xml:space="preserve">Onion</t>
  </si>
  <si>
    <t xml:space="preserve">Beetroot</t>
  </si>
  <si>
    <t xml:space="preserve">Carrot</t>
  </si>
  <si>
    <t xml:space="preserve">Knol Khol</t>
  </si>
  <si>
    <t xml:space="preserve">Okra (Ladies Finger)</t>
  </si>
  <si>
    <t xml:space="preserve">Green Chillies</t>
  </si>
  <si>
    <t xml:space="preserve">Snake Gourd</t>
  </si>
  <si>
    <t xml:space="preserve">BANANA — top taluks, 2018-19 (hectares)</t>
  </si>
  <si>
    <t xml:space="preserve">Chamarajanagara</t>
  </si>
  <si>
    <t xml:space="preserve">taluk</t>
  </si>
  <si>
    <t xml:space="preserve">Heggadadevanakote</t>
  </si>
  <si>
    <t xml:space="preserve">Nanjangud</t>
  </si>
  <si>
    <t xml:space="preserve">Holalkere</t>
  </si>
  <si>
    <t xml:space="preserve">Gundlupet</t>
  </si>
  <si>
    <t xml:space="preserve">Sirsi</t>
  </si>
  <si>
    <t xml:space="preserve">Hospet</t>
  </si>
  <si>
    <t xml:space="preserve">Sagara</t>
  </si>
  <si>
    <t xml:space="preserve">MANGO — top taluks, 2018-19 (hectares)</t>
  </si>
  <si>
    <t xml:space="preserve">Srinivaspura</t>
  </si>
  <si>
    <t xml:space="preserve">Ramanagar</t>
  </si>
  <si>
    <t xml:space="preserve">Mulabagilu</t>
  </si>
  <si>
    <t xml:space="preserve">Magadi</t>
  </si>
  <si>
    <t xml:space="preserve">Gubbi</t>
  </si>
  <si>
    <t xml:space="preserve">Chinthamani</t>
  </si>
  <si>
    <t xml:space="preserve">Tumkur</t>
  </si>
  <si>
    <t xml:space="preserve">GRAPES — top taluks, 2018-19 (hectares)</t>
  </si>
  <si>
    <t xml:space="preserve">Tikota</t>
  </si>
  <si>
    <t xml:space="preserve">Athani</t>
  </si>
  <si>
    <t xml:space="preserve">Chikballapur</t>
  </si>
  <si>
    <t xml:space="preserve">Bijapur</t>
  </si>
  <si>
    <t xml:space="preserve">Jamakhandi</t>
  </si>
  <si>
    <t xml:space="preserve">Babaleshwara</t>
  </si>
  <si>
    <t xml:space="preserve">Chadachana</t>
  </si>
  <si>
    <t xml:space="preserve">Basavan Bagewadi</t>
  </si>
  <si>
    <t xml:space="preserve">Indi</t>
  </si>
  <si>
    <t xml:space="preserve">TOMATO — top taluks, 2018-19 (hectares)</t>
  </si>
  <si>
    <t xml:space="preserve">Bangarpet</t>
  </si>
  <si>
    <t xml:space="preserve">Pavagada</t>
  </si>
  <si>
    <t xml:space="preserve">Malur</t>
  </si>
  <si>
    <t xml:space="preserve">ONION — top taluks, 2018-19 (hectares)</t>
  </si>
  <si>
    <t xml:space="preserve">Kukanuru</t>
  </si>
  <si>
    <t xml:space="preserve">Challakere</t>
  </si>
  <si>
    <t xml:space="preserve">Navalgund</t>
  </si>
  <si>
    <t xml:space="preserve">Rona</t>
  </si>
  <si>
    <t xml:space="preserve">Annigeri</t>
  </si>
  <si>
    <t xml:space="preserve">Yelburga</t>
  </si>
  <si>
    <t xml:space="preserve">Kolhara</t>
  </si>
  <si>
    <t xml:space="preserve">PLANTATION — production, 2018-19</t>
  </si>
  <si>
    <t xml:space="preserve">Arecanut (processed)</t>
  </si>
  <si>
    <t xml:space="preserve">tonnes</t>
  </si>
  <si>
    <t xml:space="preserve">Chikmagalur</t>
  </si>
  <si>
    <t xml:space="preserve">Coconut</t>
  </si>
  <si>
    <t xml:space="preserve">thousand nuts</t>
  </si>
  <si>
    <t xml:space="preserve">Cardamom</t>
  </si>
  <si>
    <t xml:space="preserve">Cashewnut (processed)</t>
  </si>
  <si>
    <t xml:space="preserve">WHAT THIS TELLS YOU, FOR FIELD TARGETING</t>
  </si>
  <si>
    <t xml:space="preserve">• MAIZE irrigated area is concentrated in Belagavi (149,019 ha), Haveri (108,234), Vijayapura (88,110), Bagalkote (68,315), Vijayanagara (51,109) and Koppal (41,595). Those six districts are roughly two-thirds of Karnataka's irrigated maize. Note this is IRRIGATED maize only — total maize area is larger and much of it is rain-fed.</t>
  </si>
  <si>
    <t xml:space="preserve">• BANANA is a Mysuru-Chamarajanagar story, not a north Karnataka one: Chamarajanagara taluk alone is 8,158 ha, then Heggadadevanakote 4,121 and Nanjangud 3,667. Holalkere (Chitradurga) at 2,612 is the notable outlier in the dry belt, and it is borewell-irrigated.</t>
  </si>
  <si>
    <t xml:space="preserve">• TOMATO is the Kolar belt, unambiguously: Mulabagilu 4,466, Srinivaspura 3,180, Kolar 3,052, Bangarpet 2,800, Chinthamani 2,015, Malur 1,931. Six of the top nine taluks are in Kolar/Chikkaballapura. This matches the ground reality and is a good sanity check that the dataset is sound.</t>
  </si>
  <si>
    <t xml:space="preserve">• GRAPES is Vijayapura district: Tikota 6,057 ha, Bijapur 1,721, Babaleshwara 1,586, Chadachana 948, Basavan Bagewadi 821, Indi 750 — plus Athani (Belagavi) 2,328 and Chikballapur 2,015. Cross-reference with the irrigation workbook: Vijayapura is 91.4% borewell-irrigated.</t>
  </si>
  <si>
    <t xml:space="preserve">• ONION is the biggest vegetable in Karnataka at 214,941 ha — three times tomato. Concentrated in Bagalkote 13,263, Kukanuru 12,297, Gadag 12,166, Challakere 10,481, Navalgund 9,481. A north Karnataka crop.</t>
  </si>
  <si>
    <t xml:space="preserve">• MANGO is the single largest horticulture crop by area at 172,855 ha, dominated by Srinivaspura (26,190 ha — an extraordinary concentration), Ramanagar 12,757 and Mulabagilu 11,622.</t>
  </si>
  <si>
    <t xml:space="preserve">• ARECANUT production concentrates in Shivamogga 169,305 t, Dakshina Kannada 140,053 t, Davanagere 116,451 t, Tumkur 100,294 t. These are exactly the districts where satellite forest products will misclassify farmland as forest — see sheet 3.</t>
  </si>
  <si>
    <t xml:space="preserve">SOURCES: Land Use Statistics (DES-Agri, Ministry of Agriculture &amp; Farmers Welfare) via India Data Portal, resource 0fb99c18-a1f7-46f0-b40d-ddffca021319. Karnataka Directorate of Economics &amp; Statistics horticulture series via data.gov.in, resources bfc85e6a-…, 4543cdc5-…, 02ad6bf0-…, 11654dc5-…</t>
  </si>
  <si>
    <t xml:space="preserve">Gap</t>
  </si>
  <si>
    <t xml:space="preserve">What_I_tried</t>
  </si>
  <si>
    <t xml:space="preserve">Where_to_get_it</t>
  </si>
  <si>
    <t xml:space="preserve">TURMERIC area at taluk level</t>
  </si>
  <si>
    <t xml:space="preserve">NOT FOUND</t>
  </si>
  <si>
    <t xml:space="preserve">Searched the data.gov.in catalogue for Karnataka spice datasets. Found 'Horticulture Area Production Yield and Value for Spice Crop' (ac1a1477-94c6-4620-89a2-7d5f7a3bd1f4) — pulled it, and EVERY record returns the literal string 'NA' for district, area, production and value. The resource is published but unpopulated. No 4_4.x turmeric file surfaced in the Karnataka DES numbered series.</t>
  </si>
  <si>
    <t xml:space="preserve">Karnataka Department of Horticulture directly — they are the custodian for spices and publish 'Horticulture at a Glance'. Their own site (horticulture.karnataka.gov.in) failed every fetch from outside India but should work from a browser in Karnataka. Second route: the Spices Board of India (indianspices.com) publishes state and district turmeric area. Third: APMC arrivals at Nippani, Chamarajanagar and Bidar as a geographic proxy — historical turmeric price files are listed in sheet 5.</t>
  </si>
  <si>
    <t xml:space="preserve">FLOWER / floriculture area at taluk level</t>
  </si>
  <si>
    <t xml:space="preserve">Multiple catalogue searches for Karnataka floriculture. The Karnataka DES numbered series (4_4.4_a through f) covers only fruits and vegetables — flowers are absent. Tamil Nadu publishes district flower area (chrysanthemum, jasmine, etc.) but Karnataka does not appear to.</t>
  </si>
  <si>
    <t xml:space="preserve">Karnataka Department of Horticulture, which runs the floriculture schemes and holds the data. Also the International Flower Auction Bangalore (IFAB) for volumes by grower region, and KAPPEC. Practical alternative for targeting: detect POLYHOUSES from imagery — see sheet 4. Polyhouse density in Chikkaballapura, Kolar, Doddaballapura and Bengaluru Rural is a better commercial signal than area statistics anyway.</t>
  </si>
  <si>
    <t xml:space="preserve">Per-survey-number crop for the whole state</t>
  </si>
  <si>
    <t xml:space="preserve">EXISTS BUT NOT PUBLIC</t>
  </si>
  <si>
    <t xml:space="preserve">Confirmed cropsurvey.karnataka.gov.in is live and public, but its report tree is JavaScript-driven and no export endpoint is visible without a real browser session. farmercropsurvey.karnataka.gov.in does not resolve at all (DNS failure) — that hostname may be decommissioned.</t>
  </si>
  <si>
    <t xml:space="preserve">Formal request to the Commissioner, Department of Agriculture, Karnataka, and/or KSRSAC. Position OneRoot as an agri-value-chain 'ecosystem partner' — the Crop Survey's own stated purpose includes sharing with such partners. This is the single request that would answer your whole question, for every crop, every season.</t>
  </si>
  <si>
    <t xml:space="preserve">LEGAL forest boundary polygons</t>
  </si>
  <si>
    <t xml:space="preserve">NOT PUBLIC ANYWHERE</t>
  </si>
  <si>
    <t xml:space="preserve">FSI publishes forest cover maps 'on request' only; its DSS geoportal has an expired TLS certificate. Karnataka Forest Department publishes no GIS layer. WDPA restricts ~900 of India's protected areas from public release. There is no public FRA claim boundary layer.</t>
  </si>
  <si>
    <t xml:space="preserve">Three routes, in order: (1) KSRSAC/KGIS data request for the forest sector layers PLUS the cadastral layer together — KGIS is the only place both exist in one framework; (2) APCCF (Working Plan &amp; Land Records), Aranya Bhavan, Bengaluru, for division-level compartment GIS; (3) accumulate PARIVESH forest-clearance KMLs, which are free, precise and government-certified, but a sample rather than wall-to-wall.</t>
  </si>
  <si>
    <t xml:space="preserve">Current-year horticulture area</t>
  </si>
  <si>
    <t xml:space="preserve">7 YEARS STALE</t>
  </si>
  <si>
    <t xml:space="preserve">The Karnataka DES taluk horticulture series is 2018-19 (entry year 2019-20). No newer taluk-level edition surfaced.</t>
  </si>
  <si>
    <t xml:space="preserve">Karnataka Dept of Horticulture for the current year. Use the 2018-19 series for SPATIAL PATTERN (which taluks grow what) — that is stable — and rescale magnitudes using current district-level totals or the Crop Survey.</t>
  </si>
  <si>
    <t xml:space="preserve">Reliable pepper/coffee production figures</t>
  </si>
  <si>
    <t xml:space="preserve">DATA QUALITY PROBLEM</t>
  </si>
  <si>
    <t xml:space="preserve">Pulled 4_4.9 plantation production. 'Pepper_tonnes' shows 941,424 t for Karnataka, Kodagu 271,487, Chikkamagaluru 257,896. India's entire pepper crop is roughly 65,000 t, and those two are coffee districts with roughly that much coffee.</t>
  </si>
  <si>
    <t xml:space="preserve">Verify against the source Karnataka DES PDF before using that column. For coffee specifically the authoritative source is the Coffee Board of India (indiacoffee.org), which publishes district-wise area and production for Kodagu, Chikkamagaluru and Hassan.</t>
  </si>
</sst>
</file>

<file path=xl/styles.xml><?xml version="1.0" encoding="utf-8"?>
<styleSheet xmlns="http://schemas.openxmlformats.org/spreadsheetml/2006/main">
  <numFmts count="3">
    <numFmt numFmtId="164" formatCode="General"/>
    <numFmt numFmtId="165" formatCode="#,##0;\(#,##0\);\-"/>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8"/>
  </cols>
  <sheetData>
    <row r="1" customFormat="false" ht="17.35" hidden="false" customHeight="false" outlineLevel="0" collapsed="false">
      <c r="A1" s="1" t="s">
        <v>0</v>
      </c>
    </row>
    <row r="2" customFormat="false" ht="33.75" hidden="false" customHeight="tru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90" hidden="false" customHeight="tru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row>
    <row r="16" customFormat="false" ht="15" hidden="false" customHeight="false" outlineLevel="0" collapsed="false">
      <c r="A16" s="4" t="s">
        <v>12</v>
      </c>
    </row>
    <row r="17" customFormat="false" ht="75.75" hidden="false" customHeight="true" outlineLevel="0" collapsed="false">
      <c r="A17" s="3" t="s">
        <v>13</v>
      </c>
    </row>
    <row r="18" customFormat="false" ht="15" hidden="false" customHeight="false" outlineLevel="0" collapsed="false">
      <c r="A18" s="3"/>
    </row>
    <row r="19" customFormat="false" ht="15" hidden="false" customHeight="false" outlineLevel="0" collapsed="false">
      <c r="A19" s="4" t="s">
        <v>14</v>
      </c>
    </row>
    <row r="20" customFormat="false" ht="23.85" hidden="false" customHeight="false" outlineLevel="0" collapsed="false">
      <c r="A20" s="3" t="s">
        <v>15</v>
      </c>
    </row>
    <row r="21" customFormat="false" ht="15" hidden="false" customHeight="false" outlineLevel="0" collapsed="false">
      <c r="A21" s="3" t="s">
        <v>16</v>
      </c>
    </row>
    <row r="22" customFormat="false" ht="23.85" hidden="false" customHeight="false" outlineLevel="0" collapsed="false">
      <c r="A22" s="3"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34"/>
    <col collapsed="false" customWidth="true" hidden="false" outlineLevel="0" max="4" min="4" style="0" width="30"/>
    <col collapsed="false" customWidth="true" hidden="false" outlineLevel="0" max="5" min="5" style="0" width="96"/>
    <col collapsed="false" customWidth="true" hidden="false" outlineLevel="0" max="6" min="6" style="0" width="58"/>
    <col collapsed="false" customWidth="true" hidden="false" outlineLevel="0" max="7" min="7" style="0" width="26"/>
  </cols>
  <sheetData>
    <row r="1" customFormat="false" ht="33.75" hidden="false" customHeight="true" outlineLevel="0" collapsed="false">
      <c r="A1" s="5" t="s">
        <v>18</v>
      </c>
      <c r="B1" s="5" t="s">
        <v>19</v>
      </c>
      <c r="C1" s="5" t="s">
        <v>20</v>
      </c>
      <c r="D1" s="5" t="s">
        <v>21</v>
      </c>
      <c r="E1" s="5" t="s">
        <v>22</v>
      </c>
      <c r="F1" s="5" t="s">
        <v>23</v>
      </c>
      <c r="G1" s="5" t="s">
        <v>24</v>
      </c>
    </row>
    <row r="2" customFormat="false" ht="68.65" hidden="false" customHeight="false" outlineLevel="0" collapsed="false">
      <c r="A2" s="6" t="s">
        <v>25</v>
      </c>
      <c r="B2" s="6" t="s">
        <v>26</v>
      </c>
      <c r="C2" s="6" t="s">
        <v>27</v>
      </c>
      <c r="D2" s="6" t="s">
        <v>28</v>
      </c>
      <c r="E2" s="6" t="s">
        <v>29</v>
      </c>
      <c r="F2" s="6" t="s">
        <v>30</v>
      </c>
      <c r="G2" s="6" t="s">
        <v>31</v>
      </c>
    </row>
    <row r="3" customFormat="false" ht="68.65" hidden="false" customHeight="false" outlineLevel="0" collapsed="false">
      <c r="A3" s="6" t="s">
        <v>32</v>
      </c>
      <c r="B3" s="6" t="s">
        <v>33</v>
      </c>
      <c r="C3" s="6" t="s">
        <v>34</v>
      </c>
      <c r="D3" s="7" t="s">
        <v>35</v>
      </c>
      <c r="E3" s="6" t="s">
        <v>36</v>
      </c>
      <c r="F3" s="6" t="s">
        <v>37</v>
      </c>
      <c r="G3" s="6" t="s">
        <v>38</v>
      </c>
    </row>
    <row r="4" customFormat="false" ht="57.45" hidden="false" customHeight="false" outlineLevel="0" collapsed="false">
      <c r="A4" s="6" t="s">
        <v>39</v>
      </c>
      <c r="B4" s="6" t="s">
        <v>40</v>
      </c>
      <c r="C4" s="6" t="s">
        <v>41</v>
      </c>
      <c r="D4" s="6" t="s">
        <v>42</v>
      </c>
      <c r="E4" s="6" t="s">
        <v>43</v>
      </c>
      <c r="F4" s="6" t="s">
        <v>44</v>
      </c>
      <c r="G4" s="6" t="s">
        <v>45</v>
      </c>
    </row>
    <row r="5" customFormat="false" ht="35.05" hidden="false" customHeight="false" outlineLevel="0" collapsed="false">
      <c r="A5" s="6" t="s">
        <v>46</v>
      </c>
      <c r="B5" s="6" t="s">
        <v>47</v>
      </c>
      <c r="C5" s="6" t="s">
        <v>48</v>
      </c>
      <c r="D5" s="8" t="s">
        <v>49</v>
      </c>
      <c r="E5" s="6" t="s">
        <v>50</v>
      </c>
      <c r="F5" s="6" t="s">
        <v>51</v>
      </c>
      <c r="G5" s="6" t="s">
        <v>52</v>
      </c>
    </row>
    <row r="6" customFormat="false" ht="46.25" hidden="false" customHeight="false" outlineLevel="0" collapsed="false">
      <c r="A6" s="6" t="s">
        <v>53</v>
      </c>
      <c r="B6" s="6" t="s">
        <v>54</v>
      </c>
      <c r="C6" s="6" t="s">
        <v>55</v>
      </c>
      <c r="D6" s="9" t="s">
        <v>56</v>
      </c>
      <c r="E6" s="6" t="s">
        <v>57</v>
      </c>
      <c r="F6" s="6" t="s">
        <v>58</v>
      </c>
      <c r="G6" s="6" t="s">
        <v>59</v>
      </c>
    </row>
    <row r="7" customFormat="false" ht="79.85" hidden="false" customHeight="false" outlineLevel="0" collapsed="false">
      <c r="A7" s="6" t="s">
        <v>60</v>
      </c>
      <c r="B7" s="6" t="s">
        <v>61</v>
      </c>
      <c r="C7" s="6" t="s">
        <v>62</v>
      </c>
      <c r="D7" s="7" t="s">
        <v>63</v>
      </c>
      <c r="E7" s="6" t="s">
        <v>64</v>
      </c>
      <c r="F7" s="6" t="s">
        <v>65</v>
      </c>
      <c r="G7" s="6"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22"/>
    <col collapsed="false" customWidth="true" hidden="false" outlineLevel="0" max="4" min="4" style="0" width="54"/>
    <col collapsed="false" customWidth="true" hidden="false" outlineLevel="0" max="5" min="5" style="0" width="44"/>
    <col collapsed="false" customWidth="true" hidden="false" outlineLevel="0" max="6" min="6" style="0" width="26"/>
    <col collapsed="false" customWidth="true" hidden="false" outlineLevel="0" max="7" min="7" style="0" width="90"/>
  </cols>
  <sheetData>
    <row r="1" customFormat="false" ht="33.75" hidden="false" customHeight="true" outlineLevel="0" collapsed="false">
      <c r="A1" s="5" t="s">
        <v>67</v>
      </c>
      <c r="B1" s="5" t="s">
        <v>68</v>
      </c>
      <c r="C1" s="5" t="s">
        <v>69</v>
      </c>
      <c r="D1" s="5" t="s">
        <v>19</v>
      </c>
      <c r="E1" s="5" t="s">
        <v>70</v>
      </c>
      <c r="F1" s="5" t="s">
        <v>21</v>
      </c>
      <c r="G1" s="5" t="s">
        <v>71</v>
      </c>
    </row>
    <row r="2" customFormat="false" ht="46.25" hidden="false" customHeight="false" outlineLevel="0" collapsed="false">
      <c r="A2" s="6" t="s">
        <v>72</v>
      </c>
      <c r="B2" s="6" t="s">
        <v>73</v>
      </c>
      <c r="C2" s="6" t="s">
        <v>74</v>
      </c>
      <c r="D2" s="6" t="s">
        <v>75</v>
      </c>
      <c r="E2" s="6" t="s">
        <v>76</v>
      </c>
      <c r="F2" s="7" t="s">
        <v>77</v>
      </c>
      <c r="G2" s="6" t="s">
        <v>78</v>
      </c>
    </row>
    <row r="3" customFormat="false" ht="15" hidden="false" customHeight="false" outlineLevel="0" collapsed="false">
      <c r="A3" s="6" t="s">
        <v>79</v>
      </c>
      <c r="B3" s="6" t="s">
        <v>73</v>
      </c>
      <c r="C3" s="6" t="s">
        <v>80</v>
      </c>
      <c r="D3" s="6" t="s">
        <v>81</v>
      </c>
      <c r="E3" s="6" t="s">
        <v>82</v>
      </c>
      <c r="F3" s="7" t="s">
        <v>77</v>
      </c>
      <c r="G3" s="6" t="s">
        <v>83</v>
      </c>
    </row>
    <row r="4" customFormat="false" ht="35.05" hidden="false" customHeight="false" outlineLevel="0" collapsed="false">
      <c r="A4" s="6" t="s">
        <v>84</v>
      </c>
      <c r="B4" s="6" t="s">
        <v>73</v>
      </c>
      <c r="C4" s="6" t="s">
        <v>80</v>
      </c>
      <c r="D4" s="6" t="s">
        <v>85</v>
      </c>
      <c r="E4" s="6" t="s">
        <v>86</v>
      </c>
      <c r="F4" s="7" t="s">
        <v>77</v>
      </c>
      <c r="G4" s="6" t="s">
        <v>87</v>
      </c>
    </row>
    <row r="5" customFormat="false" ht="35.05" hidden="false" customHeight="false" outlineLevel="0" collapsed="false">
      <c r="A5" s="6" t="s">
        <v>88</v>
      </c>
      <c r="B5" s="6" t="s">
        <v>73</v>
      </c>
      <c r="C5" s="6" t="s">
        <v>80</v>
      </c>
      <c r="D5" s="6" t="s">
        <v>89</v>
      </c>
      <c r="E5" s="6" t="s">
        <v>90</v>
      </c>
      <c r="F5" s="7" t="s">
        <v>77</v>
      </c>
      <c r="G5" s="6" t="s">
        <v>91</v>
      </c>
    </row>
    <row r="6" customFormat="false" ht="15" hidden="false" customHeight="false" outlineLevel="0" collapsed="false">
      <c r="A6" s="6" t="s">
        <v>92</v>
      </c>
      <c r="B6" s="6" t="s">
        <v>73</v>
      </c>
      <c r="C6" s="6" t="s">
        <v>80</v>
      </c>
      <c r="D6" s="6" t="s">
        <v>93</v>
      </c>
      <c r="E6" s="6" t="s">
        <v>94</v>
      </c>
      <c r="F6" s="7" t="s">
        <v>77</v>
      </c>
      <c r="G6" s="6" t="s">
        <v>95</v>
      </c>
    </row>
    <row r="7" customFormat="false" ht="46.25" hidden="false" customHeight="false" outlineLevel="0" collapsed="false">
      <c r="A7" s="6" t="s">
        <v>96</v>
      </c>
      <c r="B7" s="6" t="s">
        <v>97</v>
      </c>
      <c r="C7" s="6" t="s">
        <v>80</v>
      </c>
      <c r="D7" s="6" t="s">
        <v>98</v>
      </c>
      <c r="E7" s="6" t="s">
        <v>99</v>
      </c>
      <c r="F7" s="7" t="s">
        <v>77</v>
      </c>
      <c r="G7" s="6" t="s">
        <v>100</v>
      </c>
    </row>
    <row r="8" customFormat="false" ht="23.85" hidden="false" customHeight="false" outlineLevel="0" collapsed="false">
      <c r="A8" s="6" t="s">
        <v>101</v>
      </c>
      <c r="B8" s="6" t="s">
        <v>102</v>
      </c>
      <c r="C8" s="6" t="s">
        <v>80</v>
      </c>
      <c r="D8" s="6" t="s">
        <v>103</v>
      </c>
      <c r="E8" s="6" t="s">
        <v>104</v>
      </c>
      <c r="F8" s="7" t="s">
        <v>77</v>
      </c>
      <c r="G8" s="6" t="s">
        <v>105</v>
      </c>
    </row>
    <row r="9" customFormat="false" ht="57.45" hidden="false" customHeight="false" outlineLevel="0" collapsed="false">
      <c r="A9" s="6" t="s">
        <v>106</v>
      </c>
      <c r="B9" s="6" t="s">
        <v>107</v>
      </c>
      <c r="C9" s="6" t="s">
        <v>108</v>
      </c>
      <c r="D9" s="6" t="s">
        <v>109</v>
      </c>
      <c r="E9" s="6" t="s">
        <v>110</v>
      </c>
      <c r="F9" s="7" t="s">
        <v>111</v>
      </c>
      <c r="G9" s="6" t="s">
        <v>112</v>
      </c>
    </row>
    <row r="10" customFormat="false" ht="23.85" hidden="false" customHeight="false" outlineLevel="0" collapsed="false">
      <c r="A10" s="6" t="s">
        <v>113</v>
      </c>
      <c r="B10" s="6" t="s">
        <v>114</v>
      </c>
      <c r="C10" s="6" t="s">
        <v>115</v>
      </c>
      <c r="D10" s="6" t="s">
        <v>116</v>
      </c>
      <c r="E10" s="6" t="s">
        <v>117</v>
      </c>
      <c r="F10" s="7" t="s">
        <v>77</v>
      </c>
      <c r="G10" s="6" t="s">
        <v>118</v>
      </c>
    </row>
    <row r="11" customFormat="false" ht="35.05" hidden="false" customHeight="false" outlineLevel="0" collapsed="false">
      <c r="A11" s="6" t="s">
        <v>119</v>
      </c>
      <c r="B11" s="6" t="s">
        <v>114</v>
      </c>
      <c r="C11" s="6" t="s">
        <v>120</v>
      </c>
      <c r="D11" s="6" t="s">
        <v>121</v>
      </c>
      <c r="E11" s="6" t="s">
        <v>122</v>
      </c>
      <c r="F11" s="7" t="s">
        <v>123</v>
      </c>
      <c r="G11" s="6" t="s">
        <v>124</v>
      </c>
    </row>
    <row r="12" customFormat="false" ht="23.85" hidden="false" customHeight="false" outlineLevel="0" collapsed="false">
      <c r="A12" s="6" t="s">
        <v>125</v>
      </c>
      <c r="B12" s="6" t="s">
        <v>126</v>
      </c>
      <c r="C12" s="6" t="s">
        <v>127</v>
      </c>
      <c r="D12" s="6" t="s">
        <v>128</v>
      </c>
      <c r="E12" s="6" t="s">
        <v>129</v>
      </c>
      <c r="F12" s="7" t="s">
        <v>77</v>
      </c>
      <c r="G12" s="6" t="s">
        <v>130</v>
      </c>
    </row>
    <row r="13" customFormat="false" ht="46.25" hidden="false" customHeight="false" outlineLevel="0" collapsed="false">
      <c r="A13" s="6" t="s">
        <v>131</v>
      </c>
      <c r="B13" s="6" t="s">
        <v>132</v>
      </c>
      <c r="C13" s="6" t="s">
        <v>133</v>
      </c>
      <c r="D13" s="6" t="s">
        <v>134</v>
      </c>
      <c r="E13" s="6" t="s">
        <v>120</v>
      </c>
      <c r="F13" s="9" t="s">
        <v>135</v>
      </c>
      <c r="G13" s="6" t="s">
        <v>136</v>
      </c>
    </row>
    <row r="14" customFormat="false" ht="23.85" hidden="false" customHeight="false" outlineLevel="0" collapsed="false">
      <c r="A14" s="6" t="s">
        <v>137</v>
      </c>
      <c r="B14" s="6" t="s">
        <v>126</v>
      </c>
      <c r="C14" s="6" t="s">
        <v>138</v>
      </c>
      <c r="D14" s="6" t="s">
        <v>139</v>
      </c>
      <c r="E14" s="6" t="s">
        <v>120</v>
      </c>
      <c r="F14" s="8" t="s">
        <v>140</v>
      </c>
      <c r="G14" s="6" t="s">
        <v>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26"/>
    <col collapsed="false" customWidth="true" hidden="false" outlineLevel="0" max="3" min="3" style="0" width="62"/>
    <col collapsed="false" customWidth="true" hidden="false" outlineLevel="0" max="4" min="4" style="0" width="28"/>
    <col collapsed="false" customWidth="true" hidden="false" outlineLevel="0" max="5" min="5" style="0" width="56"/>
    <col collapsed="false" customWidth="true" hidden="false" outlineLevel="0" max="6" min="6" style="0" width="96"/>
  </cols>
  <sheetData>
    <row r="1" customFormat="false" ht="17.35" hidden="false" customHeight="false" outlineLevel="0" collapsed="false">
      <c r="A1" s="10" t="s">
        <v>142</v>
      </c>
    </row>
    <row r="2" customFormat="false" ht="15" hidden="false" customHeight="false" outlineLevel="0" collapsed="false">
      <c r="A2" s="4" t="s">
        <v>143</v>
      </c>
    </row>
    <row r="3" customFormat="false" ht="96" hidden="false" customHeight="true" outlineLevel="0" collapsed="false">
      <c r="A3" s="3" t="s">
        <v>144</v>
      </c>
    </row>
    <row r="4" customFormat="false" ht="15" hidden="false" customHeight="false" outlineLevel="0" collapsed="false">
      <c r="A4" s="3"/>
    </row>
    <row r="5" customFormat="false" ht="91" hidden="false" customHeight="false" outlineLevel="0" collapsed="false">
      <c r="A5" s="3" t="s">
        <v>145</v>
      </c>
    </row>
    <row r="6" customFormat="false" ht="46.25" hidden="false" customHeight="false" outlineLevel="0" collapsed="false">
      <c r="A6" s="3" t="s">
        <v>146</v>
      </c>
    </row>
    <row r="7" customFormat="false" ht="15" hidden="false" customHeight="false" outlineLevel="0" collapsed="false">
      <c r="A7" s="3"/>
    </row>
    <row r="8" customFormat="false" ht="135.8" hidden="false" customHeight="false" outlineLevel="0" collapsed="false">
      <c r="A8" s="3" t="s">
        <v>147</v>
      </c>
    </row>
    <row r="9" customFormat="false" ht="61.5" hidden="false" customHeight="true" outlineLevel="0" collapsed="false"/>
    <row r="11" customFormat="false" ht="33.75" hidden="false" customHeight="true" outlineLevel="0" collapsed="false">
      <c r="A11" s="5" t="s">
        <v>18</v>
      </c>
      <c r="B11" s="5" t="s">
        <v>148</v>
      </c>
      <c r="C11" s="5" t="s">
        <v>149</v>
      </c>
      <c r="D11" s="5" t="s">
        <v>21</v>
      </c>
      <c r="E11" s="5" t="s">
        <v>23</v>
      </c>
      <c r="F11" s="5" t="s">
        <v>71</v>
      </c>
    </row>
    <row r="12" customFormat="false" ht="68.65" hidden="false" customHeight="false" outlineLevel="0" collapsed="false">
      <c r="A12" s="6" t="s">
        <v>150</v>
      </c>
      <c r="B12" s="6" t="s">
        <v>151</v>
      </c>
      <c r="C12" s="6" t="s">
        <v>152</v>
      </c>
      <c r="D12" s="7" t="s">
        <v>153</v>
      </c>
      <c r="E12" s="6" t="s">
        <v>154</v>
      </c>
      <c r="F12" s="6" t="s">
        <v>155</v>
      </c>
    </row>
    <row r="13" customFormat="false" ht="57.45" hidden="false" customHeight="false" outlineLevel="0" collapsed="false">
      <c r="A13" s="6" t="s">
        <v>156</v>
      </c>
      <c r="B13" s="6" t="s">
        <v>157</v>
      </c>
      <c r="C13" s="6" t="s">
        <v>158</v>
      </c>
      <c r="D13" s="8" t="s">
        <v>159</v>
      </c>
      <c r="E13" s="6" t="s">
        <v>160</v>
      </c>
      <c r="F13" s="6" t="s">
        <v>161</v>
      </c>
    </row>
    <row r="14" customFormat="false" ht="35.05" hidden="false" customHeight="false" outlineLevel="0" collapsed="false">
      <c r="A14" s="6" t="s">
        <v>162</v>
      </c>
      <c r="B14" s="6" t="s">
        <v>163</v>
      </c>
      <c r="C14" s="6" t="s">
        <v>164</v>
      </c>
      <c r="D14" s="7" t="s">
        <v>165</v>
      </c>
      <c r="E14" s="6" t="s">
        <v>166</v>
      </c>
      <c r="F14" s="6" t="s">
        <v>167</v>
      </c>
    </row>
    <row r="15" customFormat="false" ht="46.25" hidden="false" customHeight="false" outlineLevel="0" collapsed="false">
      <c r="A15" s="6" t="s">
        <v>168</v>
      </c>
      <c r="B15" s="6" t="s">
        <v>169</v>
      </c>
      <c r="C15" s="6" t="s">
        <v>170</v>
      </c>
      <c r="D15" s="8" t="s">
        <v>171</v>
      </c>
      <c r="E15" s="6" t="s">
        <v>172</v>
      </c>
      <c r="F15" s="6" t="s">
        <v>173</v>
      </c>
    </row>
    <row r="16" customFormat="false" ht="35.05" hidden="false" customHeight="false" outlineLevel="0" collapsed="false">
      <c r="A16" s="6" t="s">
        <v>174</v>
      </c>
      <c r="B16" s="6" t="s">
        <v>175</v>
      </c>
      <c r="C16" s="6" t="s">
        <v>176</v>
      </c>
      <c r="D16" s="8" t="s">
        <v>177</v>
      </c>
      <c r="E16" s="6" t="s">
        <v>178</v>
      </c>
      <c r="F16" s="6" t="s">
        <v>179</v>
      </c>
    </row>
    <row r="17" customFormat="false" ht="46.25" hidden="false" customHeight="false" outlineLevel="0" collapsed="false">
      <c r="A17" s="6" t="s">
        <v>180</v>
      </c>
      <c r="B17" s="6" t="s">
        <v>181</v>
      </c>
      <c r="C17" s="6" t="s">
        <v>182</v>
      </c>
      <c r="D17" s="7" t="s">
        <v>183</v>
      </c>
      <c r="E17" s="6" t="s">
        <v>184</v>
      </c>
      <c r="F17" s="6" t="s">
        <v>185</v>
      </c>
    </row>
    <row r="18" customFormat="false" ht="68.65" hidden="false" customHeight="false" outlineLevel="0" collapsed="false">
      <c r="A18" s="6" t="s">
        <v>186</v>
      </c>
      <c r="B18" s="6" t="s">
        <v>187</v>
      </c>
      <c r="C18" s="6" t="s">
        <v>188</v>
      </c>
      <c r="D18" s="8" t="s">
        <v>189</v>
      </c>
      <c r="E18" s="6" t="s">
        <v>190</v>
      </c>
      <c r="F18" s="6" t="s">
        <v>191</v>
      </c>
    </row>
    <row r="19" customFormat="false" ht="35.05" hidden="false" customHeight="false" outlineLevel="0" collapsed="false">
      <c r="A19" s="6" t="s">
        <v>192</v>
      </c>
      <c r="B19" s="6" t="s">
        <v>193</v>
      </c>
      <c r="C19" s="6" t="s">
        <v>194</v>
      </c>
      <c r="D19" s="9" t="s">
        <v>195</v>
      </c>
      <c r="E19" s="6" t="s">
        <v>196</v>
      </c>
      <c r="F19" s="6" t="s">
        <v>197</v>
      </c>
    </row>
    <row r="20" customFormat="false" ht="35.05" hidden="false" customHeight="false" outlineLevel="0" collapsed="false">
      <c r="A20" s="6" t="s">
        <v>198</v>
      </c>
      <c r="B20" s="6" t="s">
        <v>199</v>
      </c>
      <c r="C20" s="6" t="s">
        <v>200</v>
      </c>
      <c r="D20" s="7" t="s">
        <v>201</v>
      </c>
      <c r="E20" s="6" t="s">
        <v>202</v>
      </c>
      <c r="F20" s="6" t="s">
        <v>203</v>
      </c>
    </row>
    <row r="21" customFormat="false" ht="35.05" hidden="false" customHeight="false" outlineLevel="0" collapsed="false">
      <c r="A21" s="6" t="s">
        <v>204</v>
      </c>
      <c r="B21" s="6" t="s">
        <v>205</v>
      </c>
      <c r="C21" s="6" t="s">
        <v>206</v>
      </c>
      <c r="D21" s="7" t="s">
        <v>207</v>
      </c>
      <c r="E21" s="6" t="s">
        <v>208</v>
      </c>
      <c r="F21" s="6"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100"/>
    <col collapsed="false" customWidth="true" hidden="false" outlineLevel="0" max="4" min="4" style="0" width="76"/>
    <col collapsed="false" customWidth="true" hidden="false" outlineLevel="0" max="5" min="5" style="0" width="62"/>
  </cols>
  <sheetData>
    <row r="1" customFormat="false" ht="33.75" hidden="false" customHeight="true" outlineLevel="0" collapsed="false">
      <c r="A1" s="5" t="s">
        <v>210</v>
      </c>
      <c r="B1" s="5" t="s">
        <v>211</v>
      </c>
      <c r="C1" s="5" t="s">
        <v>212</v>
      </c>
      <c r="D1" s="5" t="s">
        <v>213</v>
      </c>
      <c r="E1" s="5" t="s">
        <v>214</v>
      </c>
    </row>
    <row r="2" customFormat="false" ht="68.65" hidden="false" customHeight="false" outlineLevel="0" collapsed="false">
      <c r="A2" s="6" t="s">
        <v>215</v>
      </c>
      <c r="B2" s="6" t="s">
        <v>216</v>
      </c>
      <c r="C2" s="6" t="s">
        <v>217</v>
      </c>
      <c r="D2" s="6" t="s">
        <v>218</v>
      </c>
      <c r="E2" s="6" t="s">
        <v>219</v>
      </c>
    </row>
    <row r="3" customFormat="false" ht="35.05" hidden="false" customHeight="false" outlineLevel="0" collapsed="false">
      <c r="A3" s="6" t="s">
        <v>220</v>
      </c>
      <c r="B3" s="6" t="s">
        <v>221</v>
      </c>
      <c r="C3" s="6" t="s">
        <v>222</v>
      </c>
      <c r="D3" s="6" t="s">
        <v>223</v>
      </c>
      <c r="E3" s="6" t="s">
        <v>224</v>
      </c>
    </row>
    <row r="4" customFormat="false" ht="46.25" hidden="false" customHeight="false" outlineLevel="0" collapsed="false">
      <c r="A4" s="6" t="s">
        <v>225</v>
      </c>
      <c r="B4" s="6" t="s">
        <v>226</v>
      </c>
      <c r="C4" s="6" t="s">
        <v>227</v>
      </c>
      <c r="D4" s="6" t="s">
        <v>228</v>
      </c>
      <c r="E4" s="6" t="s">
        <v>229</v>
      </c>
    </row>
    <row r="5" customFormat="false" ht="57.45" hidden="false" customHeight="false" outlineLevel="0" collapsed="false">
      <c r="A5" s="6" t="s">
        <v>230</v>
      </c>
      <c r="B5" s="6" t="s">
        <v>231</v>
      </c>
      <c r="C5" s="6" t="s">
        <v>232</v>
      </c>
      <c r="D5" s="6" t="s">
        <v>233</v>
      </c>
      <c r="E5" s="6" t="s">
        <v>234</v>
      </c>
    </row>
    <row r="6" customFormat="false" ht="35.05" hidden="false" customHeight="false" outlineLevel="0" collapsed="false">
      <c r="A6" s="6" t="s">
        <v>235</v>
      </c>
      <c r="B6" s="6" t="s">
        <v>236</v>
      </c>
      <c r="C6" s="6" t="s">
        <v>237</v>
      </c>
      <c r="D6" s="6" t="s">
        <v>238</v>
      </c>
      <c r="E6" s="6" t="s">
        <v>239</v>
      </c>
    </row>
    <row r="7" customFormat="false" ht="46.25" hidden="false" customHeight="false" outlineLevel="0" collapsed="false">
      <c r="A7" s="6" t="s">
        <v>240</v>
      </c>
      <c r="B7" s="6" t="s">
        <v>241</v>
      </c>
      <c r="C7" s="6" t="s">
        <v>242</v>
      </c>
      <c r="D7" s="6" t="s">
        <v>243</v>
      </c>
      <c r="E7" s="6" t="s">
        <v>244</v>
      </c>
    </row>
    <row r="8" customFormat="false" ht="46.25" hidden="false" customHeight="false" outlineLevel="0" collapsed="false">
      <c r="A8" s="6" t="s">
        <v>245</v>
      </c>
      <c r="B8" s="6" t="s">
        <v>246</v>
      </c>
      <c r="C8" s="6" t="s">
        <v>247</v>
      </c>
      <c r="D8" s="6" t="s">
        <v>248</v>
      </c>
      <c r="E8" s="6" t="s">
        <v>249</v>
      </c>
    </row>
    <row r="9" customFormat="false" ht="68.65" hidden="false" customHeight="false" outlineLevel="0" collapsed="false">
      <c r="A9" s="6" t="s">
        <v>250</v>
      </c>
      <c r="B9" s="6" t="s">
        <v>251</v>
      </c>
      <c r="C9" s="6" t="s">
        <v>252</v>
      </c>
      <c r="D9" s="6" t="s">
        <v>253</v>
      </c>
      <c r="E9" s="6" t="s">
        <v>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4"/>
    <col collapsed="false" customWidth="true" hidden="false" outlineLevel="0" max="3" min="3" style="0" width="92"/>
    <col collapsed="false" customWidth="true" hidden="false" outlineLevel="0" max="4" min="4" style="0" width="100"/>
  </cols>
  <sheetData>
    <row r="1" customFormat="false" ht="33.75" hidden="false" customHeight="true" outlineLevel="0" collapsed="false">
      <c r="A1" s="5" t="s">
        <v>255</v>
      </c>
      <c r="B1" s="5" t="s">
        <v>256</v>
      </c>
      <c r="C1" s="5" t="s">
        <v>257</v>
      </c>
      <c r="D1" s="5" t="s">
        <v>71</v>
      </c>
    </row>
    <row r="2" customFormat="false" ht="79.85" hidden="false" customHeight="false" outlineLevel="0" collapsed="false">
      <c r="A2" s="6" t="s">
        <v>258</v>
      </c>
      <c r="B2" s="6" t="s">
        <v>259</v>
      </c>
      <c r="C2" s="6" t="s">
        <v>260</v>
      </c>
      <c r="D2" s="6" t="s">
        <v>261</v>
      </c>
    </row>
    <row r="3" customFormat="false" ht="79.85" hidden="false" customHeight="false" outlineLevel="0" collapsed="false">
      <c r="A3" s="6" t="s">
        <v>262</v>
      </c>
      <c r="B3" s="6" t="s">
        <v>263</v>
      </c>
      <c r="C3" s="6" t="s">
        <v>264</v>
      </c>
      <c r="D3" s="6" t="s">
        <v>265</v>
      </c>
    </row>
    <row r="4" customFormat="false" ht="35.05" hidden="false" customHeight="false" outlineLevel="0" collapsed="false">
      <c r="A4" s="6" t="s">
        <v>266</v>
      </c>
      <c r="B4" s="6" t="s">
        <v>263</v>
      </c>
      <c r="C4" s="6" t="s">
        <v>267</v>
      </c>
      <c r="D4" s="6" t="s">
        <v>268</v>
      </c>
    </row>
    <row r="5" customFormat="false" ht="91" hidden="false" customHeight="false" outlineLevel="0" collapsed="false">
      <c r="A5" s="6" t="s">
        <v>269</v>
      </c>
      <c r="B5" s="6" t="s">
        <v>259</v>
      </c>
      <c r="C5" s="6" t="s">
        <v>270</v>
      </c>
      <c r="D5" s="6" t="s">
        <v>271</v>
      </c>
    </row>
    <row r="6" customFormat="false" ht="79.85" hidden="false" customHeight="false" outlineLevel="0" collapsed="false">
      <c r="A6" s="6" t="s">
        <v>272</v>
      </c>
      <c r="B6" s="6" t="s">
        <v>273</v>
      </c>
      <c r="C6" s="6" t="s">
        <v>274</v>
      </c>
      <c r="D6" s="6" t="s">
        <v>275</v>
      </c>
    </row>
    <row r="7" customFormat="false" ht="79.85" hidden="false" customHeight="false" outlineLevel="0" collapsed="false">
      <c r="A7" s="6" t="s">
        <v>276</v>
      </c>
      <c r="B7" s="6" t="s">
        <v>277</v>
      </c>
      <c r="C7" s="6" t="s">
        <v>278</v>
      </c>
      <c r="D7" s="6" t="s">
        <v>279</v>
      </c>
    </row>
    <row r="8" customFormat="false" ht="68.65" hidden="false" customHeight="false" outlineLevel="0" collapsed="false">
      <c r="A8" s="6" t="s">
        <v>280</v>
      </c>
      <c r="B8" s="6" t="s">
        <v>281</v>
      </c>
      <c r="C8" s="6" t="s">
        <v>282</v>
      </c>
      <c r="D8" s="6" t="s">
        <v>283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16"/>
    <col collapsed="false" customWidth="true" hidden="false" outlineLevel="0" max="4" min="4" style="0" width="18"/>
    <col collapsed="false" customWidth="true" hidden="false" outlineLevel="0" max="5" min="5" style="0" width="14"/>
  </cols>
  <sheetData>
    <row r="1" customFormat="false" ht="17.35" hidden="false" customHeight="false" outlineLevel="0" collapsed="false">
      <c r="A1" s="10" t="s">
        <v>284</v>
      </c>
    </row>
    <row r="2" customFormat="false" ht="45.75" hidden="false" customHeight="true" outlineLevel="0" collapsed="false">
      <c r="A2" s="11" t="s">
        <v>285</v>
      </c>
      <c r="B2" s="11"/>
      <c r="C2" s="11"/>
      <c r="D2" s="11"/>
      <c r="E2" s="11"/>
      <c r="F2" s="11"/>
    </row>
    <row r="4" customFormat="false" ht="15" hidden="false" customHeight="false" outlineLevel="0" collapsed="false">
      <c r="A4" s="12" t="s">
        <v>286</v>
      </c>
    </row>
    <row r="5" customFormat="false" ht="33.75" hidden="false" customHeight="true" outlineLevel="0" collapsed="false">
      <c r="A5" s="5" t="s">
        <v>287</v>
      </c>
      <c r="B5" s="5" t="s">
        <v>288</v>
      </c>
      <c r="C5" s="5" t="s">
        <v>289</v>
      </c>
      <c r="D5" s="5" t="s">
        <v>290</v>
      </c>
      <c r="E5" s="5" t="s">
        <v>68</v>
      </c>
    </row>
    <row r="6" customFormat="false" ht="15" hidden="false" customHeight="false" outlineLevel="0" collapsed="false">
      <c r="A6" s="13" t="s">
        <v>291</v>
      </c>
      <c r="B6" s="13" t="s">
        <v>292</v>
      </c>
      <c r="C6" s="14" t="n">
        <v>68315</v>
      </c>
      <c r="D6" s="13" t="s">
        <v>293</v>
      </c>
      <c r="E6" s="13" t="s">
        <v>294</v>
      </c>
    </row>
    <row r="7" customFormat="false" ht="15" hidden="false" customHeight="false" outlineLevel="0" collapsed="false">
      <c r="A7" s="13" t="s">
        <v>295</v>
      </c>
      <c r="B7" s="13" t="s">
        <v>292</v>
      </c>
      <c r="C7" s="14" t="n">
        <v>17808</v>
      </c>
      <c r="D7" s="13" t="s">
        <v>293</v>
      </c>
      <c r="E7" s="13" t="s">
        <v>294</v>
      </c>
    </row>
    <row r="8" customFormat="false" ht="15" hidden="false" customHeight="false" outlineLevel="0" collapsed="false">
      <c r="A8" s="13" t="s">
        <v>296</v>
      </c>
      <c r="B8" s="13" t="s">
        <v>292</v>
      </c>
      <c r="C8" s="14" t="n">
        <v>149019</v>
      </c>
      <c r="D8" s="13" t="s">
        <v>293</v>
      </c>
      <c r="E8" s="13" t="s">
        <v>294</v>
      </c>
    </row>
    <row r="9" customFormat="false" ht="15" hidden="false" customHeight="false" outlineLevel="0" collapsed="false">
      <c r="A9" s="13" t="s">
        <v>297</v>
      </c>
      <c r="B9" s="13" t="s">
        <v>292</v>
      </c>
      <c r="C9" s="14" t="n">
        <v>598</v>
      </c>
      <c r="D9" s="13" t="s">
        <v>293</v>
      </c>
      <c r="E9" s="13" t="s">
        <v>294</v>
      </c>
    </row>
    <row r="10" customFormat="false" ht="15" hidden="false" customHeight="false" outlineLevel="0" collapsed="false">
      <c r="A10" s="13" t="s">
        <v>298</v>
      </c>
      <c r="B10" s="13" t="s">
        <v>292</v>
      </c>
      <c r="C10" s="14" t="n">
        <v>3743</v>
      </c>
      <c r="D10" s="13" t="s">
        <v>293</v>
      </c>
      <c r="E10" s="13" t="s">
        <v>294</v>
      </c>
    </row>
    <row r="11" customFormat="false" ht="15" hidden="false" customHeight="false" outlineLevel="0" collapsed="false">
      <c r="A11" s="13" t="s">
        <v>299</v>
      </c>
      <c r="B11" s="13" t="s">
        <v>292</v>
      </c>
      <c r="C11" s="14" t="n">
        <v>630</v>
      </c>
      <c r="D11" s="13" t="s">
        <v>293</v>
      </c>
      <c r="E11" s="13" t="s">
        <v>294</v>
      </c>
    </row>
    <row r="12" customFormat="false" ht="15" hidden="false" customHeight="false" outlineLevel="0" collapsed="false">
      <c r="A12" s="13" t="s">
        <v>300</v>
      </c>
      <c r="B12" s="13" t="s">
        <v>292</v>
      </c>
      <c r="C12" s="14" t="n">
        <v>519</v>
      </c>
      <c r="D12" s="13" t="s">
        <v>293</v>
      </c>
      <c r="E12" s="13" t="s">
        <v>294</v>
      </c>
    </row>
    <row r="13" customFormat="false" ht="15" hidden="false" customHeight="false" outlineLevel="0" collapsed="false">
      <c r="A13" s="13" t="s">
        <v>301</v>
      </c>
      <c r="B13" s="13" t="s">
        <v>292</v>
      </c>
      <c r="C13" s="14" t="n">
        <v>31000</v>
      </c>
      <c r="D13" s="13" t="s">
        <v>293</v>
      </c>
      <c r="E13" s="13" t="s">
        <v>294</v>
      </c>
    </row>
    <row r="14" customFormat="false" ht="15" hidden="false" customHeight="false" outlineLevel="0" collapsed="false">
      <c r="A14" s="13" t="s">
        <v>302</v>
      </c>
      <c r="B14" s="13" t="s">
        <v>292</v>
      </c>
      <c r="C14" s="14" t="n">
        <v>13039</v>
      </c>
      <c r="D14" s="13" t="s">
        <v>293</v>
      </c>
      <c r="E14" s="13" t="s">
        <v>294</v>
      </c>
    </row>
    <row r="15" customFormat="false" ht="15" hidden="false" customHeight="false" outlineLevel="0" collapsed="false">
      <c r="A15" s="13" t="s">
        <v>303</v>
      </c>
      <c r="B15" s="13" t="s">
        <v>292</v>
      </c>
      <c r="C15" s="14" t="n">
        <v>2649</v>
      </c>
      <c r="D15" s="13" t="s">
        <v>293</v>
      </c>
      <c r="E15" s="13" t="s">
        <v>294</v>
      </c>
    </row>
    <row r="16" customFormat="false" ht="15" hidden="false" customHeight="false" outlineLevel="0" collapsed="false">
      <c r="A16" s="13" t="s">
        <v>304</v>
      </c>
      <c r="B16" s="13" t="s">
        <v>292</v>
      </c>
      <c r="C16" s="14" t="n">
        <v>37248</v>
      </c>
      <c r="D16" s="13" t="s">
        <v>293</v>
      </c>
      <c r="E16" s="13" t="s">
        <v>294</v>
      </c>
    </row>
    <row r="17" customFormat="false" ht="15" hidden="false" customHeight="false" outlineLevel="0" collapsed="false">
      <c r="A17" s="13" t="s">
        <v>305</v>
      </c>
      <c r="B17" s="13" t="s">
        <v>292</v>
      </c>
      <c r="C17" s="14"/>
      <c r="D17" s="13" t="s">
        <v>293</v>
      </c>
      <c r="E17" s="13" t="s">
        <v>294</v>
      </c>
    </row>
    <row r="18" customFormat="false" ht="15" hidden="false" customHeight="false" outlineLevel="0" collapsed="false">
      <c r="A18" s="13" t="s">
        <v>306</v>
      </c>
      <c r="B18" s="13" t="s">
        <v>292</v>
      </c>
      <c r="C18" s="14" t="n">
        <v>18872</v>
      </c>
      <c r="D18" s="13" t="s">
        <v>293</v>
      </c>
      <c r="E18" s="13" t="s">
        <v>294</v>
      </c>
    </row>
    <row r="19" customFormat="false" ht="15" hidden="false" customHeight="false" outlineLevel="0" collapsed="false">
      <c r="A19" s="13" t="s">
        <v>307</v>
      </c>
      <c r="B19" s="13" t="s">
        <v>292</v>
      </c>
      <c r="C19" s="14" t="n">
        <v>13594</v>
      </c>
      <c r="D19" s="13" t="s">
        <v>293</v>
      </c>
      <c r="E19" s="13" t="s">
        <v>294</v>
      </c>
    </row>
    <row r="20" customFormat="false" ht="15" hidden="false" customHeight="false" outlineLevel="0" collapsed="false">
      <c r="A20" s="13" t="s">
        <v>308</v>
      </c>
      <c r="B20" s="13" t="s">
        <v>292</v>
      </c>
      <c r="C20" s="14" t="n">
        <v>37886</v>
      </c>
      <c r="D20" s="13" t="s">
        <v>293</v>
      </c>
      <c r="E20" s="13" t="s">
        <v>294</v>
      </c>
    </row>
    <row r="21" customFormat="false" ht="15" hidden="false" customHeight="false" outlineLevel="0" collapsed="false">
      <c r="A21" s="13" t="s">
        <v>309</v>
      </c>
      <c r="B21" s="13" t="s">
        <v>292</v>
      </c>
      <c r="C21" s="14" t="n">
        <v>17705</v>
      </c>
      <c r="D21" s="13" t="s">
        <v>293</v>
      </c>
      <c r="E21" s="13" t="s">
        <v>294</v>
      </c>
    </row>
    <row r="22" customFormat="false" ht="15" hidden="false" customHeight="false" outlineLevel="0" collapsed="false">
      <c r="A22" s="13" t="s">
        <v>310</v>
      </c>
      <c r="B22" s="13" t="s">
        <v>292</v>
      </c>
      <c r="C22" s="14" t="n">
        <v>108234</v>
      </c>
      <c r="D22" s="13" t="s">
        <v>293</v>
      </c>
      <c r="E22" s="13" t="s">
        <v>294</v>
      </c>
    </row>
    <row r="23" customFormat="false" ht="15" hidden="false" customHeight="false" outlineLevel="0" collapsed="false">
      <c r="A23" s="13" t="s">
        <v>311</v>
      </c>
      <c r="B23" s="13" t="s">
        <v>292</v>
      </c>
      <c r="C23" s="14" t="n">
        <v>735</v>
      </c>
      <c r="D23" s="13" t="s">
        <v>293</v>
      </c>
      <c r="E23" s="13" t="s">
        <v>294</v>
      </c>
    </row>
    <row r="24" customFormat="false" ht="15" hidden="false" customHeight="false" outlineLevel="0" collapsed="false">
      <c r="A24" s="13" t="s">
        <v>312</v>
      </c>
      <c r="B24" s="13" t="s">
        <v>292</v>
      </c>
      <c r="C24" s="14"/>
      <c r="D24" s="13" t="s">
        <v>293</v>
      </c>
      <c r="E24" s="13" t="s">
        <v>294</v>
      </c>
    </row>
    <row r="25" customFormat="false" ht="15" hidden="false" customHeight="false" outlineLevel="0" collapsed="false">
      <c r="A25" s="13" t="s">
        <v>313</v>
      </c>
      <c r="B25" s="13" t="s">
        <v>292</v>
      </c>
      <c r="C25" s="14" t="n">
        <v>3777</v>
      </c>
      <c r="D25" s="13" t="s">
        <v>293</v>
      </c>
      <c r="E25" s="13" t="s">
        <v>294</v>
      </c>
    </row>
    <row r="26" customFormat="false" ht="15" hidden="false" customHeight="false" outlineLevel="0" collapsed="false">
      <c r="A26" s="13" t="s">
        <v>314</v>
      </c>
      <c r="B26" s="13" t="s">
        <v>292</v>
      </c>
      <c r="C26" s="14" t="n">
        <v>41595</v>
      </c>
      <c r="D26" s="13" t="s">
        <v>293</v>
      </c>
      <c r="E26" s="13" t="s">
        <v>294</v>
      </c>
    </row>
    <row r="27" customFormat="false" ht="15" hidden="false" customHeight="false" outlineLevel="0" collapsed="false">
      <c r="A27" s="13" t="s">
        <v>315</v>
      </c>
      <c r="B27" s="13" t="s">
        <v>292</v>
      </c>
      <c r="C27" s="14" t="n">
        <v>4466</v>
      </c>
      <c r="D27" s="13" t="s">
        <v>293</v>
      </c>
      <c r="E27" s="13" t="s">
        <v>294</v>
      </c>
    </row>
    <row r="28" customFormat="false" ht="15" hidden="false" customHeight="false" outlineLevel="0" collapsed="false">
      <c r="A28" s="13" t="s">
        <v>316</v>
      </c>
      <c r="B28" s="13" t="s">
        <v>292</v>
      </c>
      <c r="C28" s="14" t="n">
        <v>5566</v>
      </c>
      <c r="D28" s="13" t="s">
        <v>293</v>
      </c>
      <c r="E28" s="13" t="s">
        <v>294</v>
      </c>
    </row>
    <row r="29" customFormat="false" ht="15" hidden="false" customHeight="false" outlineLevel="0" collapsed="false">
      <c r="A29" s="13" t="s">
        <v>317</v>
      </c>
      <c r="B29" s="13" t="s">
        <v>292</v>
      </c>
      <c r="C29" s="14" t="n">
        <v>2221</v>
      </c>
      <c r="D29" s="13" t="s">
        <v>293</v>
      </c>
      <c r="E29" s="13" t="s">
        <v>294</v>
      </c>
    </row>
    <row r="30" customFormat="false" ht="15" hidden="false" customHeight="false" outlineLevel="0" collapsed="false">
      <c r="A30" s="13" t="s">
        <v>318</v>
      </c>
      <c r="B30" s="13" t="s">
        <v>292</v>
      </c>
      <c r="C30" s="14" t="n">
        <v>18680</v>
      </c>
      <c r="D30" s="13" t="s">
        <v>293</v>
      </c>
      <c r="E30" s="13" t="s">
        <v>294</v>
      </c>
    </row>
    <row r="31" customFormat="false" ht="15" hidden="false" customHeight="false" outlineLevel="0" collapsed="false">
      <c r="A31" s="13" t="s">
        <v>319</v>
      </c>
      <c r="B31" s="13" t="s">
        <v>292</v>
      </c>
      <c r="C31" s="14" t="n">
        <v>5623</v>
      </c>
      <c r="D31" s="13" t="s">
        <v>293</v>
      </c>
      <c r="E31" s="13" t="s">
        <v>294</v>
      </c>
    </row>
    <row r="32" customFormat="false" ht="15" hidden="false" customHeight="false" outlineLevel="0" collapsed="false">
      <c r="A32" s="13" t="s">
        <v>320</v>
      </c>
      <c r="B32" s="13" t="s">
        <v>292</v>
      </c>
      <c r="C32" s="14" t="n">
        <v>28</v>
      </c>
      <c r="D32" s="13" t="s">
        <v>293</v>
      </c>
      <c r="E32" s="13" t="s">
        <v>294</v>
      </c>
    </row>
    <row r="33" customFormat="false" ht="15" hidden="false" customHeight="false" outlineLevel="0" collapsed="false">
      <c r="A33" s="13" t="s">
        <v>321</v>
      </c>
      <c r="B33" s="13" t="s">
        <v>292</v>
      </c>
      <c r="C33" s="14" t="n">
        <v>2936</v>
      </c>
      <c r="D33" s="13" t="s">
        <v>293</v>
      </c>
      <c r="E33" s="13" t="s">
        <v>294</v>
      </c>
    </row>
    <row r="34" customFormat="false" ht="15" hidden="false" customHeight="false" outlineLevel="0" collapsed="false">
      <c r="A34" s="13" t="s">
        <v>322</v>
      </c>
      <c r="B34" s="13" t="s">
        <v>292</v>
      </c>
      <c r="C34" s="14" t="n">
        <v>51109</v>
      </c>
      <c r="D34" s="13" t="s">
        <v>293</v>
      </c>
      <c r="E34" s="13" t="s">
        <v>294</v>
      </c>
    </row>
    <row r="35" customFormat="false" ht="15" hidden="false" customHeight="false" outlineLevel="0" collapsed="false">
      <c r="A35" s="13" t="s">
        <v>323</v>
      </c>
      <c r="B35" s="13" t="s">
        <v>292</v>
      </c>
      <c r="C35" s="14" t="n">
        <v>88110</v>
      </c>
      <c r="D35" s="13" t="s">
        <v>293</v>
      </c>
      <c r="E35" s="13" t="s">
        <v>294</v>
      </c>
    </row>
    <row r="36" customFormat="false" ht="15" hidden="false" customHeight="false" outlineLevel="0" collapsed="false">
      <c r="A36" s="13" t="s">
        <v>324</v>
      </c>
      <c r="B36" s="13" t="s">
        <v>292</v>
      </c>
      <c r="C36" s="14" t="n">
        <v>262</v>
      </c>
      <c r="D36" s="13" t="s">
        <v>293</v>
      </c>
      <c r="E36" s="13" t="s">
        <v>294</v>
      </c>
    </row>
    <row r="37" customFormat="false" ht="15" hidden="false" customHeight="false" outlineLevel="0" collapsed="false">
      <c r="A37" s="12" t="s">
        <v>325</v>
      </c>
      <c r="C37" s="15" t="n">
        <f aca="false">SUM(C6:C36)</f>
        <v>745967</v>
      </c>
      <c r="D37" s="12" t="s">
        <v>293</v>
      </c>
    </row>
    <row r="40" customFormat="false" ht="15" hidden="false" customHeight="false" outlineLevel="0" collapsed="false">
      <c r="A40" s="12" t="s">
        <v>326</v>
      </c>
    </row>
    <row r="41" customFormat="false" ht="33.75" hidden="false" customHeight="true" outlineLevel="0" collapsed="false">
      <c r="A41" s="5" t="s">
        <v>287</v>
      </c>
      <c r="B41" s="5" t="s">
        <v>288</v>
      </c>
      <c r="C41" s="5" t="s">
        <v>289</v>
      </c>
      <c r="D41" s="5" t="s">
        <v>290</v>
      </c>
      <c r="E41" s="5" t="s">
        <v>68</v>
      </c>
    </row>
    <row r="42" customFormat="false" ht="15" hidden="false" customHeight="false" outlineLevel="0" collapsed="false">
      <c r="A42" s="13" t="s">
        <v>327</v>
      </c>
      <c r="B42" s="13" t="s">
        <v>328</v>
      </c>
      <c r="C42" s="14" t="n">
        <v>79944</v>
      </c>
      <c r="D42" s="13" t="s">
        <v>293</v>
      </c>
      <c r="E42" s="13" t="s">
        <v>329</v>
      </c>
    </row>
    <row r="43" customFormat="false" ht="15" hidden="false" customHeight="false" outlineLevel="0" collapsed="false">
      <c r="A43" s="13" t="s">
        <v>327</v>
      </c>
      <c r="B43" s="13" t="s">
        <v>330</v>
      </c>
      <c r="C43" s="14" t="n">
        <v>172855</v>
      </c>
      <c r="D43" s="13" t="s">
        <v>293</v>
      </c>
      <c r="E43" s="13" t="s">
        <v>329</v>
      </c>
    </row>
    <row r="44" customFormat="false" ht="15" hidden="false" customHeight="false" outlineLevel="0" collapsed="false">
      <c r="A44" s="13" t="s">
        <v>327</v>
      </c>
      <c r="B44" s="13" t="s">
        <v>331</v>
      </c>
      <c r="C44" s="14" t="n">
        <v>15701</v>
      </c>
      <c r="D44" s="13" t="s">
        <v>293</v>
      </c>
      <c r="E44" s="13" t="s">
        <v>329</v>
      </c>
    </row>
    <row r="45" customFormat="false" ht="15" hidden="false" customHeight="false" outlineLevel="0" collapsed="false">
      <c r="A45" s="13" t="s">
        <v>327</v>
      </c>
      <c r="B45" s="13" t="s">
        <v>332</v>
      </c>
      <c r="C45" s="14" t="n">
        <v>2260</v>
      </c>
      <c r="D45" s="13" t="s">
        <v>293</v>
      </c>
      <c r="E45" s="13" t="s">
        <v>329</v>
      </c>
    </row>
    <row r="46" customFormat="false" ht="15" hidden="false" customHeight="false" outlineLevel="0" collapsed="false">
      <c r="A46" s="13" t="s">
        <v>327</v>
      </c>
      <c r="B46" s="13" t="s">
        <v>333</v>
      </c>
      <c r="C46" s="14" t="n">
        <v>4922</v>
      </c>
      <c r="D46" s="13" t="s">
        <v>293</v>
      </c>
      <c r="E46" s="13" t="s">
        <v>329</v>
      </c>
    </row>
    <row r="47" customFormat="false" ht="15" hidden="false" customHeight="false" outlineLevel="0" collapsed="false">
      <c r="A47" s="13" t="s">
        <v>327</v>
      </c>
      <c r="B47" s="13" t="s">
        <v>334</v>
      </c>
      <c r="C47" s="14" t="n">
        <v>23474</v>
      </c>
      <c r="D47" s="13" t="s">
        <v>293</v>
      </c>
      <c r="E47" s="13" t="s">
        <v>329</v>
      </c>
    </row>
    <row r="48" customFormat="false" ht="15" hidden="false" customHeight="false" outlineLevel="0" collapsed="false">
      <c r="A48" s="13" t="s">
        <v>327</v>
      </c>
      <c r="B48" s="13" t="s">
        <v>335</v>
      </c>
      <c r="C48" s="14" t="n">
        <v>66053</v>
      </c>
      <c r="D48" s="13" t="s">
        <v>293</v>
      </c>
      <c r="E48" s="13" t="s">
        <v>329</v>
      </c>
    </row>
    <row r="49" customFormat="false" ht="15" hidden="false" customHeight="false" outlineLevel="0" collapsed="false">
      <c r="A49" s="13" t="s">
        <v>327</v>
      </c>
      <c r="B49" s="13" t="s">
        <v>336</v>
      </c>
      <c r="C49" s="14" t="n">
        <v>13401</v>
      </c>
      <c r="D49" s="13" t="s">
        <v>293</v>
      </c>
      <c r="E49" s="13" t="s">
        <v>329</v>
      </c>
    </row>
    <row r="50" customFormat="false" ht="15" hidden="false" customHeight="false" outlineLevel="0" collapsed="false">
      <c r="A50" s="13" t="s">
        <v>327</v>
      </c>
      <c r="B50" s="13" t="s">
        <v>337</v>
      </c>
      <c r="C50" s="14" t="n">
        <v>7312</v>
      </c>
      <c r="D50" s="13" t="s">
        <v>293</v>
      </c>
      <c r="E50" s="13" t="s">
        <v>329</v>
      </c>
    </row>
    <row r="51" customFormat="false" ht="15" hidden="false" customHeight="false" outlineLevel="0" collapsed="false">
      <c r="A51" s="13" t="s">
        <v>327</v>
      </c>
      <c r="B51" s="13" t="s">
        <v>338</v>
      </c>
      <c r="C51" s="14" t="n">
        <v>10395</v>
      </c>
      <c r="D51" s="13" t="s">
        <v>293</v>
      </c>
      <c r="E51" s="13" t="s">
        <v>329</v>
      </c>
    </row>
    <row r="52" customFormat="false" ht="15" hidden="false" customHeight="false" outlineLevel="0" collapsed="false">
      <c r="A52" s="13" t="s">
        <v>327</v>
      </c>
      <c r="B52" s="13" t="s">
        <v>339</v>
      </c>
      <c r="C52" s="14" t="n">
        <v>2136</v>
      </c>
      <c r="D52" s="13" t="s">
        <v>293</v>
      </c>
      <c r="E52" s="13" t="s">
        <v>329</v>
      </c>
    </row>
    <row r="53" customFormat="false" ht="15" hidden="false" customHeight="false" outlineLevel="0" collapsed="false">
      <c r="A53" s="13" t="s">
        <v>327</v>
      </c>
      <c r="B53" s="13" t="s">
        <v>340</v>
      </c>
      <c r="C53" s="14" t="n">
        <v>10196</v>
      </c>
      <c r="D53" s="13" t="s">
        <v>293</v>
      </c>
      <c r="E53" s="13" t="s">
        <v>329</v>
      </c>
    </row>
    <row r="54" customFormat="false" ht="15" hidden="false" customHeight="false" outlineLevel="0" collapsed="false">
      <c r="A54" s="13" t="s">
        <v>327</v>
      </c>
      <c r="B54" s="13" t="s">
        <v>341</v>
      </c>
      <c r="C54" s="14" t="n">
        <v>4339</v>
      </c>
      <c r="D54" s="13" t="s">
        <v>293</v>
      </c>
      <c r="E54" s="13" t="s">
        <v>329</v>
      </c>
    </row>
    <row r="55" customFormat="false" ht="15" hidden="false" customHeight="false" outlineLevel="0" collapsed="false">
      <c r="A55" s="13" t="s">
        <v>327</v>
      </c>
      <c r="B55" s="13" t="s">
        <v>342</v>
      </c>
      <c r="C55" s="14" t="n">
        <v>2838</v>
      </c>
      <c r="D55" s="13" t="s">
        <v>293</v>
      </c>
      <c r="E55" s="13" t="s">
        <v>329</v>
      </c>
    </row>
    <row r="56" customFormat="false" ht="15" hidden="false" customHeight="false" outlineLevel="0" collapsed="false">
      <c r="A56" s="13" t="s">
        <v>327</v>
      </c>
      <c r="B56" s="13" t="s">
        <v>343</v>
      </c>
      <c r="C56" s="14" t="n">
        <v>214941</v>
      </c>
      <c r="D56" s="13" t="s">
        <v>293</v>
      </c>
      <c r="E56" s="13" t="s">
        <v>329</v>
      </c>
    </row>
    <row r="57" customFormat="false" ht="15" hidden="false" customHeight="false" outlineLevel="0" collapsed="false">
      <c r="A57" s="13" t="s">
        <v>327</v>
      </c>
      <c r="B57" s="13" t="s">
        <v>344</v>
      </c>
      <c r="C57" s="14" t="n">
        <v>2692</v>
      </c>
      <c r="D57" s="13" t="s">
        <v>293</v>
      </c>
      <c r="E57" s="13" t="s">
        <v>329</v>
      </c>
    </row>
    <row r="58" customFormat="false" ht="15" hidden="false" customHeight="false" outlineLevel="0" collapsed="false">
      <c r="A58" s="13" t="s">
        <v>327</v>
      </c>
      <c r="B58" s="13" t="s">
        <v>345</v>
      </c>
      <c r="C58" s="14" t="n">
        <v>3862</v>
      </c>
      <c r="D58" s="13" t="s">
        <v>293</v>
      </c>
      <c r="E58" s="13" t="s">
        <v>329</v>
      </c>
    </row>
    <row r="59" customFormat="false" ht="15" hidden="false" customHeight="false" outlineLevel="0" collapsed="false">
      <c r="A59" s="13" t="s">
        <v>327</v>
      </c>
      <c r="B59" s="13" t="s">
        <v>346</v>
      </c>
      <c r="C59" s="14" t="n">
        <v>2048</v>
      </c>
      <c r="D59" s="13" t="s">
        <v>293</v>
      </c>
      <c r="E59" s="13" t="s">
        <v>329</v>
      </c>
    </row>
    <row r="60" customFormat="false" ht="15" hidden="false" customHeight="false" outlineLevel="0" collapsed="false">
      <c r="A60" s="13" t="s">
        <v>327</v>
      </c>
      <c r="B60" s="13" t="s">
        <v>347</v>
      </c>
      <c r="C60" s="14" t="n">
        <v>6553</v>
      </c>
      <c r="D60" s="13" t="s">
        <v>293</v>
      </c>
      <c r="E60" s="13" t="s">
        <v>329</v>
      </c>
    </row>
    <row r="61" customFormat="false" ht="15" hidden="false" customHeight="false" outlineLevel="0" collapsed="false">
      <c r="A61" s="13" t="s">
        <v>327</v>
      </c>
      <c r="B61" s="13" t="s">
        <v>348</v>
      </c>
      <c r="C61" s="14" t="n">
        <v>41021</v>
      </c>
      <c r="D61" s="13" t="s">
        <v>293</v>
      </c>
      <c r="E61" s="13" t="s">
        <v>329</v>
      </c>
    </row>
    <row r="62" customFormat="false" ht="15" hidden="false" customHeight="false" outlineLevel="0" collapsed="false">
      <c r="A62" s="13" t="s">
        <v>327</v>
      </c>
      <c r="B62" s="13" t="s">
        <v>349</v>
      </c>
      <c r="C62" s="14" t="n">
        <v>434</v>
      </c>
      <c r="D62" s="13" t="s">
        <v>293</v>
      </c>
      <c r="E62" s="13" t="s">
        <v>329</v>
      </c>
    </row>
    <row r="65" customFormat="false" ht="15" hidden="false" customHeight="false" outlineLevel="0" collapsed="false">
      <c r="A65" s="12" t="s">
        <v>350</v>
      </c>
    </row>
    <row r="66" customFormat="false" ht="33.75" hidden="false" customHeight="true" outlineLevel="0" collapsed="false">
      <c r="A66" s="5" t="s">
        <v>287</v>
      </c>
      <c r="B66" s="5" t="s">
        <v>288</v>
      </c>
      <c r="C66" s="5" t="s">
        <v>289</v>
      </c>
      <c r="D66" s="5" t="s">
        <v>290</v>
      </c>
      <c r="E66" s="5" t="s">
        <v>68</v>
      </c>
    </row>
    <row r="67" customFormat="false" ht="15" hidden="false" customHeight="false" outlineLevel="0" collapsed="false">
      <c r="A67" s="13" t="s">
        <v>351</v>
      </c>
      <c r="B67" s="13" t="s">
        <v>328</v>
      </c>
      <c r="C67" s="14" t="n">
        <v>8158</v>
      </c>
      <c r="D67" s="13" t="s">
        <v>293</v>
      </c>
      <c r="E67" s="13" t="s">
        <v>352</v>
      </c>
    </row>
    <row r="68" customFormat="false" ht="15" hidden="false" customHeight="false" outlineLevel="0" collapsed="false">
      <c r="A68" s="13" t="s">
        <v>353</v>
      </c>
      <c r="B68" s="13" t="s">
        <v>328</v>
      </c>
      <c r="C68" s="14" t="n">
        <v>4121</v>
      </c>
      <c r="D68" s="13" t="s">
        <v>293</v>
      </c>
      <c r="E68" s="13" t="s">
        <v>352</v>
      </c>
    </row>
    <row r="69" customFormat="false" ht="15" hidden="false" customHeight="false" outlineLevel="0" collapsed="false">
      <c r="A69" s="13" t="s">
        <v>354</v>
      </c>
      <c r="B69" s="13" t="s">
        <v>328</v>
      </c>
      <c r="C69" s="14" t="n">
        <v>3667</v>
      </c>
      <c r="D69" s="13" t="s">
        <v>293</v>
      </c>
      <c r="E69" s="13" t="s">
        <v>352</v>
      </c>
    </row>
    <row r="70" customFormat="false" ht="15" hidden="false" customHeight="false" outlineLevel="0" collapsed="false">
      <c r="A70" s="13" t="s">
        <v>355</v>
      </c>
      <c r="B70" s="13" t="s">
        <v>328</v>
      </c>
      <c r="C70" s="14" t="n">
        <v>2612</v>
      </c>
      <c r="D70" s="13" t="s">
        <v>293</v>
      </c>
      <c r="E70" s="13" t="s">
        <v>352</v>
      </c>
    </row>
    <row r="71" customFormat="false" ht="15" hidden="false" customHeight="false" outlineLevel="0" collapsed="false">
      <c r="A71" s="13" t="s">
        <v>356</v>
      </c>
      <c r="B71" s="13" t="s">
        <v>328</v>
      </c>
      <c r="C71" s="14" t="n">
        <v>2422</v>
      </c>
      <c r="D71" s="13" t="s">
        <v>293</v>
      </c>
      <c r="E71" s="13" t="s">
        <v>352</v>
      </c>
    </row>
    <row r="72" customFormat="false" ht="15" hidden="false" customHeight="false" outlineLevel="0" collapsed="false">
      <c r="A72" s="13" t="s">
        <v>357</v>
      </c>
      <c r="B72" s="13" t="s">
        <v>328</v>
      </c>
      <c r="C72" s="14" t="n">
        <v>1996</v>
      </c>
      <c r="D72" s="13" t="s">
        <v>293</v>
      </c>
      <c r="E72" s="13" t="s">
        <v>352</v>
      </c>
    </row>
    <row r="73" customFormat="false" ht="15" hidden="false" customHeight="false" outlineLevel="0" collapsed="false">
      <c r="A73" s="13" t="s">
        <v>358</v>
      </c>
      <c r="B73" s="13" t="s">
        <v>328</v>
      </c>
      <c r="C73" s="14" t="n">
        <v>1814</v>
      </c>
      <c r="D73" s="13" t="s">
        <v>293</v>
      </c>
      <c r="E73" s="13" t="s">
        <v>352</v>
      </c>
    </row>
    <row r="74" customFormat="false" ht="15" hidden="false" customHeight="false" outlineLevel="0" collapsed="false">
      <c r="A74" s="13" t="s">
        <v>359</v>
      </c>
      <c r="B74" s="13" t="s">
        <v>328</v>
      </c>
      <c r="C74" s="14" t="n">
        <v>1772</v>
      </c>
      <c r="D74" s="13" t="s">
        <v>293</v>
      </c>
      <c r="E74" s="13" t="s">
        <v>352</v>
      </c>
    </row>
    <row r="75" customFormat="false" ht="15" hidden="false" customHeight="false" outlineLevel="0" collapsed="false">
      <c r="A75" s="13" t="s">
        <v>306</v>
      </c>
      <c r="B75" s="13" t="s">
        <v>328</v>
      </c>
      <c r="C75" s="14" t="n">
        <v>1676</v>
      </c>
      <c r="D75" s="13" t="s">
        <v>293</v>
      </c>
      <c r="E75" s="13" t="s">
        <v>352</v>
      </c>
    </row>
    <row r="78" customFormat="false" ht="15" hidden="false" customHeight="false" outlineLevel="0" collapsed="false">
      <c r="A78" s="12" t="s">
        <v>360</v>
      </c>
    </row>
    <row r="79" customFormat="false" ht="33.75" hidden="false" customHeight="true" outlineLevel="0" collapsed="false">
      <c r="A79" s="5" t="s">
        <v>287</v>
      </c>
      <c r="B79" s="5" t="s">
        <v>288</v>
      </c>
      <c r="C79" s="5" t="s">
        <v>289</v>
      </c>
      <c r="D79" s="5" t="s">
        <v>290</v>
      </c>
      <c r="E79" s="5" t="s">
        <v>68</v>
      </c>
    </row>
    <row r="80" customFormat="false" ht="15" hidden="false" customHeight="false" outlineLevel="0" collapsed="false">
      <c r="A80" s="13" t="s">
        <v>361</v>
      </c>
      <c r="B80" s="13" t="s">
        <v>330</v>
      </c>
      <c r="C80" s="14" t="n">
        <v>26190</v>
      </c>
      <c r="D80" s="13" t="s">
        <v>293</v>
      </c>
      <c r="E80" s="13" t="s">
        <v>352</v>
      </c>
    </row>
    <row r="81" customFormat="false" ht="15" hidden="false" customHeight="false" outlineLevel="0" collapsed="false">
      <c r="A81" s="13" t="s">
        <v>362</v>
      </c>
      <c r="B81" s="13" t="s">
        <v>330</v>
      </c>
      <c r="C81" s="14" t="n">
        <v>12757</v>
      </c>
      <c r="D81" s="13" t="s">
        <v>293</v>
      </c>
      <c r="E81" s="13" t="s">
        <v>352</v>
      </c>
    </row>
    <row r="82" customFormat="false" ht="15" hidden="false" customHeight="false" outlineLevel="0" collapsed="false">
      <c r="A82" s="13" t="s">
        <v>363</v>
      </c>
      <c r="B82" s="13" t="s">
        <v>330</v>
      </c>
      <c r="C82" s="14" t="n">
        <v>11622</v>
      </c>
      <c r="D82" s="13" t="s">
        <v>293</v>
      </c>
      <c r="E82" s="13" t="s">
        <v>352</v>
      </c>
    </row>
    <row r="83" customFormat="false" ht="15" hidden="false" customHeight="false" outlineLevel="0" collapsed="false">
      <c r="A83" s="13" t="s">
        <v>364</v>
      </c>
      <c r="B83" s="13" t="s">
        <v>330</v>
      </c>
      <c r="C83" s="14" t="n">
        <v>9623</v>
      </c>
      <c r="D83" s="13" t="s">
        <v>293</v>
      </c>
      <c r="E83" s="13" t="s">
        <v>352</v>
      </c>
    </row>
    <row r="84" customFormat="false" ht="15" hidden="false" customHeight="false" outlineLevel="0" collapsed="false">
      <c r="A84" s="13" t="s">
        <v>365</v>
      </c>
      <c r="B84" s="13" t="s">
        <v>330</v>
      </c>
      <c r="C84" s="14" t="n">
        <v>7069</v>
      </c>
      <c r="D84" s="13" t="s">
        <v>293</v>
      </c>
      <c r="E84" s="13" t="s">
        <v>352</v>
      </c>
    </row>
    <row r="85" customFormat="false" ht="15" hidden="false" customHeight="false" outlineLevel="0" collapsed="false">
      <c r="A85" s="13" t="s">
        <v>366</v>
      </c>
      <c r="B85" s="13" t="s">
        <v>330</v>
      </c>
      <c r="C85" s="14" t="n">
        <v>6680</v>
      </c>
      <c r="D85" s="13" t="s">
        <v>293</v>
      </c>
      <c r="E85" s="13" t="s">
        <v>352</v>
      </c>
    </row>
    <row r="86" customFormat="false" ht="15" hidden="false" customHeight="false" outlineLevel="0" collapsed="false">
      <c r="A86" s="13" t="s">
        <v>313</v>
      </c>
      <c r="B86" s="13" t="s">
        <v>330</v>
      </c>
      <c r="C86" s="14" t="n">
        <v>6448</v>
      </c>
      <c r="D86" s="13" t="s">
        <v>293</v>
      </c>
      <c r="E86" s="13" t="s">
        <v>352</v>
      </c>
    </row>
    <row r="87" customFormat="false" ht="15" hidden="false" customHeight="false" outlineLevel="0" collapsed="false">
      <c r="A87" s="13" t="s">
        <v>367</v>
      </c>
      <c r="B87" s="13" t="s">
        <v>330</v>
      </c>
      <c r="C87" s="14" t="n">
        <v>6249</v>
      </c>
      <c r="D87" s="13" t="s">
        <v>293</v>
      </c>
      <c r="E87" s="13" t="s">
        <v>352</v>
      </c>
    </row>
    <row r="88" customFormat="false" ht="15" hidden="false" customHeight="false" outlineLevel="0" collapsed="false">
      <c r="A88" s="13" t="s">
        <v>307</v>
      </c>
      <c r="B88" s="13" t="s">
        <v>330</v>
      </c>
      <c r="C88" s="14" t="n">
        <v>5836</v>
      </c>
      <c r="D88" s="13" t="s">
        <v>293</v>
      </c>
      <c r="E88" s="13" t="s">
        <v>352</v>
      </c>
    </row>
    <row r="91" customFormat="false" ht="15" hidden="false" customHeight="false" outlineLevel="0" collapsed="false">
      <c r="A91" s="12" t="s">
        <v>368</v>
      </c>
    </row>
    <row r="92" customFormat="false" ht="33.75" hidden="false" customHeight="true" outlineLevel="0" collapsed="false">
      <c r="A92" s="5" t="s">
        <v>287</v>
      </c>
      <c r="B92" s="5" t="s">
        <v>288</v>
      </c>
      <c r="C92" s="5" t="s">
        <v>289</v>
      </c>
      <c r="D92" s="5" t="s">
        <v>290</v>
      </c>
      <c r="E92" s="5" t="s">
        <v>68</v>
      </c>
    </row>
    <row r="93" customFormat="false" ht="15" hidden="false" customHeight="false" outlineLevel="0" collapsed="false">
      <c r="A93" s="13" t="s">
        <v>369</v>
      </c>
      <c r="B93" s="13" t="s">
        <v>334</v>
      </c>
      <c r="C93" s="14" t="n">
        <v>6057</v>
      </c>
      <c r="D93" s="13" t="s">
        <v>293</v>
      </c>
      <c r="E93" s="13" t="s">
        <v>352</v>
      </c>
    </row>
    <row r="94" customFormat="false" ht="15" hidden="false" customHeight="false" outlineLevel="0" collapsed="false">
      <c r="A94" s="13" t="s">
        <v>370</v>
      </c>
      <c r="B94" s="13" t="s">
        <v>334</v>
      </c>
      <c r="C94" s="14" t="n">
        <v>2328</v>
      </c>
      <c r="D94" s="13" t="s">
        <v>293</v>
      </c>
      <c r="E94" s="13" t="s">
        <v>352</v>
      </c>
    </row>
    <row r="95" customFormat="false" ht="15" hidden="false" customHeight="false" outlineLevel="0" collapsed="false">
      <c r="A95" s="13" t="s">
        <v>371</v>
      </c>
      <c r="B95" s="13" t="s">
        <v>334</v>
      </c>
      <c r="C95" s="14" t="n">
        <v>2015</v>
      </c>
      <c r="D95" s="13" t="s">
        <v>293</v>
      </c>
      <c r="E95" s="13" t="s">
        <v>352</v>
      </c>
    </row>
    <row r="96" customFormat="false" ht="15" hidden="false" customHeight="false" outlineLevel="0" collapsed="false">
      <c r="A96" s="13" t="s">
        <v>372</v>
      </c>
      <c r="B96" s="13" t="s">
        <v>334</v>
      </c>
      <c r="C96" s="14" t="n">
        <v>1721</v>
      </c>
      <c r="D96" s="13" t="s">
        <v>293</v>
      </c>
      <c r="E96" s="13" t="s">
        <v>352</v>
      </c>
    </row>
    <row r="97" customFormat="false" ht="15" hidden="false" customHeight="false" outlineLevel="0" collapsed="false">
      <c r="A97" s="13" t="s">
        <v>373</v>
      </c>
      <c r="B97" s="13" t="s">
        <v>334</v>
      </c>
      <c r="C97" s="14" t="n">
        <v>1701</v>
      </c>
      <c r="D97" s="13" t="s">
        <v>293</v>
      </c>
      <c r="E97" s="13" t="s">
        <v>352</v>
      </c>
    </row>
    <row r="98" customFormat="false" ht="15" hidden="false" customHeight="false" outlineLevel="0" collapsed="false">
      <c r="A98" s="13" t="s">
        <v>374</v>
      </c>
      <c r="B98" s="13" t="s">
        <v>334</v>
      </c>
      <c r="C98" s="14" t="n">
        <v>1586</v>
      </c>
      <c r="D98" s="13" t="s">
        <v>293</v>
      </c>
      <c r="E98" s="13" t="s">
        <v>352</v>
      </c>
    </row>
    <row r="99" customFormat="false" ht="15" hidden="false" customHeight="false" outlineLevel="0" collapsed="false">
      <c r="A99" s="13" t="s">
        <v>375</v>
      </c>
      <c r="B99" s="13" t="s">
        <v>334</v>
      </c>
      <c r="C99" s="14" t="n">
        <v>948</v>
      </c>
      <c r="D99" s="13" t="s">
        <v>293</v>
      </c>
      <c r="E99" s="13" t="s">
        <v>352</v>
      </c>
    </row>
    <row r="100" customFormat="false" ht="15" hidden="false" customHeight="false" outlineLevel="0" collapsed="false">
      <c r="A100" s="13" t="s">
        <v>376</v>
      </c>
      <c r="B100" s="13" t="s">
        <v>334</v>
      </c>
      <c r="C100" s="14" t="n">
        <v>821</v>
      </c>
      <c r="D100" s="13" t="s">
        <v>293</v>
      </c>
      <c r="E100" s="13" t="s">
        <v>352</v>
      </c>
    </row>
    <row r="101" customFormat="false" ht="15" hidden="false" customHeight="false" outlineLevel="0" collapsed="false">
      <c r="A101" s="13" t="s">
        <v>377</v>
      </c>
      <c r="B101" s="13" t="s">
        <v>334</v>
      </c>
      <c r="C101" s="14" t="n">
        <v>750</v>
      </c>
      <c r="D101" s="13" t="s">
        <v>293</v>
      </c>
      <c r="E101" s="13" t="s">
        <v>352</v>
      </c>
    </row>
    <row r="104" customFormat="false" ht="15" hidden="false" customHeight="false" outlineLevel="0" collapsed="false">
      <c r="A104" s="12" t="s">
        <v>378</v>
      </c>
    </row>
    <row r="105" customFormat="false" ht="33.75" hidden="false" customHeight="true" outlineLevel="0" collapsed="false">
      <c r="A105" s="5" t="s">
        <v>287</v>
      </c>
      <c r="B105" s="5" t="s">
        <v>288</v>
      </c>
      <c r="C105" s="5" t="s">
        <v>289</v>
      </c>
      <c r="D105" s="5" t="s">
        <v>290</v>
      </c>
      <c r="E105" s="5" t="s">
        <v>68</v>
      </c>
    </row>
    <row r="106" customFormat="false" ht="15" hidden="false" customHeight="false" outlineLevel="0" collapsed="false">
      <c r="A106" s="13" t="s">
        <v>363</v>
      </c>
      <c r="B106" s="13" t="s">
        <v>335</v>
      </c>
      <c r="C106" s="14" t="n">
        <v>4466</v>
      </c>
      <c r="D106" s="13" t="s">
        <v>293</v>
      </c>
      <c r="E106" s="13" t="s">
        <v>352</v>
      </c>
    </row>
    <row r="107" customFormat="false" ht="15" hidden="false" customHeight="false" outlineLevel="0" collapsed="false">
      <c r="A107" s="13" t="s">
        <v>361</v>
      </c>
      <c r="B107" s="13" t="s">
        <v>335</v>
      </c>
      <c r="C107" s="14" t="n">
        <v>3180</v>
      </c>
      <c r="D107" s="13" t="s">
        <v>293</v>
      </c>
      <c r="E107" s="13" t="s">
        <v>352</v>
      </c>
    </row>
    <row r="108" customFormat="false" ht="15" hidden="false" customHeight="false" outlineLevel="0" collapsed="false">
      <c r="A108" s="13" t="s">
        <v>313</v>
      </c>
      <c r="B108" s="13" t="s">
        <v>335</v>
      </c>
      <c r="C108" s="14" t="n">
        <v>3052</v>
      </c>
      <c r="D108" s="13" t="s">
        <v>293</v>
      </c>
      <c r="E108" s="13" t="s">
        <v>352</v>
      </c>
    </row>
    <row r="109" customFormat="false" ht="15" hidden="false" customHeight="false" outlineLevel="0" collapsed="false">
      <c r="A109" s="13" t="s">
        <v>379</v>
      </c>
      <c r="B109" s="13" t="s">
        <v>335</v>
      </c>
      <c r="C109" s="14" t="n">
        <v>2800</v>
      </c>
      <c r="D109" s="13" t="s">
        <v>293</v>
      </c>
      <c r="E109" s="13" t="s">
        <v>352</v>
      </c>
    </row>
    <row r="110" customFormat="false" ht="15" hidden="false" customHeight="false" outlineLevel="0" collapsed="false">
      <c r="A110" s="13" t="s">
        <v>380</v>
      </c>
      <c r="B110" s="13" t="s">
        <v>335</v>
      </c>
      <c r="C110" s="14" t="n">
        <v>2528</v>
      </c>
      <c r="D110" s="13" t="s">
        <v>293</v>
      </c>
      <c r="E110" s="13" t="s">
        <v>352</v>
      </c>
    </row>
    <row r="111" customFormat="false" ht="15" hidden="false" customHeight="false" outlineLevel="0" collapsed="false">
      <c r="A111" s="13" t="s">
        <v>356</v>
      </c>
      <c r="B111" s="13" t="s">
        <v>335</v>
      </c>
      <c r="C111" s="14" t="n">
        <v>2157</v>
      </c>
      <c r="D111" s="13" t="s">
        <v>293</v>
      </c>
      <c r="E111" s="13" t="s">
        <v>352</v>
      </c>
    </row>
    <row r="112" customFormat="false" ht="15" hidden="false" customHeight="false" outlineLevel="0" collapsed="false">
      <c r="A112" s="13" t="s">
        <v>366</v>
      </c>
      <c r="B112" s="13" t="s">
        <v>335</v>
      </c>
      <c r="C112" s="14" t="n">
        <v>2015</v>
      </c>
      <c r="D112" s="13" t="s">
        <v>293</v>
      </c>
      <c r="E112" s="13" t="s">
        <v>352</v>
      </c>
    </row>
    <row r="113" customFormat="false" ht="15" hidden="false" customHeight="false" outlineLevel="0" collapsed="false">
      <c r="A113" s="13" t="s">
        <v>381</v>
      </c>
      <c r="B113" s="13" t="s">
        <v>335</v>
      </c>
      <c r="C113" s="14" t="n">
        <v>1931</v>
      </c>
      <c r="D113" s="13" t="s">
        <v>293</v>
      </c>
      <c r="E113" s="13" t="s">
        <v>352</v>
      </c>
    </row>
    <row r="114" customFormat="false" ht="15" hidden="false" customHeight="false" outlineLevel="0" collapsed="false">
      <c r="A114" s="13" t="s">
        <v>351</v>
      </c>
      <c r="B114" s="13" t="s">
        <v>335</v>
      </c>
      <c r="C114" s="14" t="n">
        <v>1918</v>
      </c>
      <c r="D114" s="13" t="s">
        <v>293</v>
      </c>
      <c r="E114" s="13" t="s">
        <v>352</v>
      </c>
    </row>
    <row r="117" customFormat="false" ht="15" hidden="false" customHeight="false" outlineLevel="0" collapsed="false">
      <c r="A117" s="12" t="s">
        <v>382</v>
      </c>
    </row>
    <row r="118" customFormat="false" ht="33.75" hidden="false" customHeight="true" outlineLevel="0" collapsed="false">
      <c r="A118" s="5" t="s">
        <v>287</v>
      </c>
      <c r="B118" s="5" t="s">
        <v>288</v>
      </c>
      <c r="C118" s="5" t="s">
        <v>289</v>
      </c>
      <c r="D118" s="5" t="s">
        <v>290</v>
      </c>
      <c r="E118" s="5" t="s">
        <v>68</v>
      </c>
    </row>
    <row r="119" customFormat="false" ht="15" hidden="false" customHeight="false" outlineLevel="0" collapsed="false">
      <c r="A119" s="13" t="s">
        <v>291</v>
      </c>
      <c r="B119" s="13" t="s">
        <v>343</v>
      </c>
      <c r="C119" s="14" t="n">
        <v>13263</v>
      </c>
      <c r="D119" s="13" t="s">
        <v>293</v>
      </c>
      <c r="E119" s="13" t="s">
        <v>352</v>
      </c>
    </row>
    <row r="120" customFormat="false" ht="15" hidden="false" customHeight="false" outlineLevel="0" collapsed="false">
      <c r="A120" s="13" t="s">
        <v>383</v>
      </c>
      <c r="B120" s="13" t="s">
        <v>343</v>
      </c>
      <c r="C120" s="14" t="n">
        <v>12297</v>
      </c>
      <c r="D120" s="13" t="s">
        <v>293</v>
      </c>
      <c r="E120" s="13" t="s">
        <v>352</v>
      </c>
    </row>
    <row r="121" customFormat="false" ht="15" hidden="false" customHeight="false" outlineLevel="0" collapsed="false">
      <c r="A121" s="13" t="s">
        <v>308</v>
      </c>
      <c r="B121" s="13" t="s">
        <v>343</v>
      </c>
      <c r="C121" s="14" t="n">
        <v>12166</v>
      </c>
      <c r="D121" s="13" t="s">
        <v>293</v>
      </c>
      <c r="E121" s="13" t="s">
        <v>352</v>
      </c>
    </row>
    <row r="122" customFormat="false" ht="15" hidden="false" customHeight="false" outlineLevel="0" collapsed="false">
      <c r="A122" s="13" t="s">
        <v>384</v>
      </c>
      <c r="B122" s="13" t="s">
        <v>343</v>
      </c>
      <c r="C122" s="14" t="n">
        <v>10481</v>
      </c>
      <c r="D122" s="13" t="s">
        <v>293</v>
      </c>
      <c r="E122" s="13" t="s">
        <v>352</v>
      </c>
    </row>
    <row r="123" customFormat="false" ht="15" hidden="false" customHeight="false" outlineLevel="0" collapsed="false">
      <c r="A123" s="13" t="s">
        <v>385</v>
      </c>
      <c r="B123" s="13" t="s">
        <v>343</v>
      </c>
      <c r="C123" s="14" t="n">
        <v>9481</v>
      </c>
      <c r="D123" s="13" t="s">
        <v>293</v>
      </c>
      <c r="E123" s="13" t="s">
        <v>352</v>
      </c>
    </row>
    <row r="124" customFormat="false" ht="15" hidden="false" customHeight="false" outlineLevel="0" collapsed="false">
      <c r="A124" s="13" t="s">
        <v>386</v>
      </c>
      <c r="B124" s="13" t="s">
        <v>343</v>
      </c>
      <c r="C124" s="14" t="n">
        <v>8500</v>
      </c>
      <c r="D124" s="13" t="s">
        <v>293</v>
      </c>
      <c r="E124" s="13" t="s">
        <v>352</v>
      </c>
    </row>
    <row r="125" customFormat="false" ht="15" hidden="false" customHeight="false" outlineLevel="0" collapsed="false">
      <c r="A125" s="13" t="s">
        <v>387</v>
      </c>
      <c r="B125" s="13" t="s">
        <v>343</v>
      </c>
      <c r="C125" s="14" t="n">
        <v>8487</v>
      </c>
      <c r="D125" s="13" t="s">
        <v>293</v>
      </c>
      <c r="E125" s="13" t="s">
        <v>352</v>
      </c>
    </row>
    <row r="126" customFormat="false" ht="15" hidden="false" customHeight="false" outlineLevel="0" collapsed="false">
      <c r="A126" s="13" t="s">
        <v>388</v>
      </c>
      <c r="B126" s="13" t="s">
        <v>343</v>
      </c>
      <c r="C126" s="14" t="n">
        <v>6938</v>
      </c>
      <c r="D126" s="13" t="s">
        <v>293</v>
      </c>
      <c r="E126" s="13" t="s">
        <v>352</v>
      </c>
    </row>
    <row r="127" customFormat="false" ht="15" hidden="false" customHeight="false" outlineLevel="0" collapsed="false">
      <c r="A127" s="13" t="s">
        <v>389</v>
      </c>
      <c r="B127" s="13" t="s">
        <v>343</v>
      </c>
      <c r="C127" s="14" t="n">
        <v>6938</v>
      </c>
      <c r="D127" s="13" t="s">
        <v>293</v>
      </c>
      <c r="E127" s="13" t="s">
        <v>352</v>
      </c>
    </row>
    <row r="130" customFormat="false" ht="15" hidden="false" customHeight="false" outlineLevel="0" collapsed="false">
      <c r="A130" s="12" t="s">
        <v>390</v>
      </c>
    </row>
    <row r="131" customFormat="false" ht="33.75" hidden="false" customHeight="true" outlineLevel="0" collapsed="false">
      <c r="A131" s="5" t="s">
        <v>287</v>
      </c>
      <c r="B131" s="5" t="s">
        <v>288</v>
      </c>
      <c r="C131" s="5" t="s">
        <v>289</v>
      </c>
      <c r="D131" s="5" t="s">
        <v>290</v>
      </c>
      <c r="E131" s="5" t="s">
        <v>68</v>
      </c>
    </row>
    <row r="132" customFormat="false" ht="15" hidden="false" customHeight="false" outlineLevel="0" collapsed="false">
      <c r="A132" s="13" t="s">
        <v>318</v>
      </c>
      <c r="B132" s="13" t="s">
        <v>391</v>
      </c>
      <c r="C132" s="14" t="n">
        <v>169305</v>
      </c>
      <c r="D132" s="13" t="s">
        <v>392</v>
      </c>
      <c r="E132" s="13" t="s">
        <v>294</v>
      </c>
    </row>
    <row r="133" customFormat="false" ht="15" hidden="false" customHeight="false" outlineLevel="0" collapsed="false">
      <c r="A133" s="13" t="s">
        <v>305</v>
      </c>
      <c r="B133" s="13" t="s">
        <v>391</v>
      </c>
      <c r="C133" s="14" t="n">
        <v>140053</v>
      </c>
      <c r="D133" s="13" t="s">
        <v>392</v>
      </c>
      <c r="E133" s="13" t="s">
        <v>294</v>
      </c>
    </row>
    <row r="134" customFormat="false" ht="15" hidden="false" customHeight="false" outlineLevel="0" collapsed="false">
      <c r="A134" s="13" t="s">
        <v>306</v>
      </c>
      <c r="B134" s="13" t="s">
        <v>391</v>
      </c>
      <c r="C134" s="14" t="n">
        <v>116451</v>
      </c>
      <c r="D134" s="13" t="s">
        <v>392</v>
      </c>
      <c r="E134" s="13" t="s">
        <v>294</v>
      </c>
    </row>
    <row r="135" customFormat="false" ht="15" hidden="false" customHeight="false" outlineLevel="0" collapsed="false">
      <c r="A135" s="13" t="s">
        <v>367</v>
      </c>
      <c r="B135" s="13" t="s">
        <v>391</v>
      </c>
      <c r="C135" s="14" t="n">
        <v>100294</v>
      </c>
      <c r="D135" s="13" t="s">
        <v>392</v>
      </c>
      <c r="E135" s="13" t="s">
        <v>294</v>
      </c>
    </row>
    <row r="136" customFormat="false" ht="15" hidden="false" customHeight="false" outlineLevel="0" collapsed="false">
      <c r="A136" s="13" t="s">
        <v>321</v>
      </c>
      <c r="B136" s="13" t="s">
        <v>391</v>
      </c>
      <c r="C136" s="14" t="n">
        <v>87282</v>
      </c>
      <c r="D136" s="13" t="s">
        <v>392</v>
      </c>
      <c r="E136" s="13" t="s">
        <v>294</v>
      </c>
    </row>
    <row r="137" customFormat="false" ht="15" hidden="false" customHeight="false" outlineLevel="0" collapsed="false">
      <c r="A137" s="13" t="s">
        <v>304</v>
      </c>
      <c r="B137" s="13" t="s">
        <v>391</v>
      </c>
      <c r="C137" s="14" t="n">
        <v>75946</v>
      </c>
      <c r="D137" s="13" t="s">
        <v>392</v>
      </c>
      <c r="E137" s="13" t="s">
        <v>294</v>
      </c>
    </row>
    <row r="138" customFormat="false" ht="15" hidden="false" customHeight="false" outlineLevel="0" collapsed="false">
      <c r="A138" s="13" t="s">
        <v>393</v>
      </c>
      <c r="B138" s="13" t="s">
        <v>391</v>
      </c>
      <c r="C138" s="14" t="n">
        <v>67140</v>
      </c>
      <c r="D138" s="13" t="s">
        <v>392</v>
      </c>
      <c r="E138" s="13" t="s">
        <v>294</v>
      </c>
    </row>
    <row r="139" customFormat="false" ht="15" hidden="false" customHeight="false" outlineLevel="0" collapsed="false">
      <c r="A139" s="13" t="s">
        <v>320</v>
      </c>
      <c r="B139" s="13" t="s">
        <v>391</v>
      </c>
      <c r="C139" s="14" t="n">
        <v>32310</v>
      </c>
      <c r="D139" s="13" t="s">
        <v>392</v>
      </c>
      <c r="E139" s="13" t="s">
        <v>294</v>
      </c>
    </row>
    <row r="140" customFormat="false" ht="15" hidden="false" customHeight="false" outlineLevel="0" collapsed="false">
      <c r="A140" s="13" t="s">
        <v>312</v>
      </c>
      <c r="B140" s="13" t="s">
        <v>391</v>
      </c>
      <c r="C140" s="14" t="n">
        <v>13777</v>
      </c>
      <c r="D140" s="13" t="s">
        <v>392</v>
      </c>
      <c r="E140" s="13" t="s">
        <v>294</v>
      </c>
    </row>
    <row r="141" customFormat="false" ht="15" hidden="false" customHeight="false" outlineLevel="0" collapsed="false">
      <c r="A141" s="13" t="s">
        <v>367</v>
      </c>
      <c r="B141" s="13" t="s">
        <v>394</v>
      </c>
      <c r="C141" s="14" t="n">
        <v>1305171</v>
      </c>
      <c r="D141" s="13" t="s">
        <v>395</v>
      </c>
      <c r="E141" s="13" t="s">
        <v>294</v>
      </c>
    </row>
    <row r="142" customFormat="false" ht="15" hidden="false" customHeight="false" outlineLevel="0" collapsed="false">
      <c r="A142" s="13" t="s">
        <v>393</v>
      </c>
      <c r="B142" s="13" t="s">
        <v>394</v>
      </c>
      <c r="C142" s="14" t="n">
        <v>480862</v>
      </c>
      <c r="D142" s="13" t="s">
        <v>395</v>
      </c>
      <c r="E142" s="13" t="s">
        <v>294</v>
      </c>
    </row>
    <row r="143" customFormat="false" ht="15" hidden="false" customHeight="false" outlineLevel="0" collapsed="false">
      <c r="A143" s="13" t="s">
        <v>320</v>
      </c>
      <c r="B143" s="13" t="s">
        <v>394</v>
      </c>
      <c r="C143" s="14" t="n">
        <v>393989</v>
      </c>
      <c r="D143" s="13" t="s">
        <v>395</v>
      </c>
      <c r="E143" s="13" t="s">
        <v>294</v>
      </c>
    </row>
    <row r="144" customFormat="false" ht="15" hidden="false" customHeight="false" outlineLevel="0" collapsed="false">
      <c r="A144" s="13" t="s">
        <v>304</v>
      </c>
      <c r="B144" s="13" t="s">
        <v>394</v>
      </c>
      <c r="C144" s="14" t="n">
        <v>343102</v>
      </c>
      <c r="D144" s="13" t="s">
        <v>395</v>
      </c>
      <c r="E144" s="13" t="s">
        <v>294</v>
      </c>
    </row>
    <row r="145" customFormat="false" ht="15" hidden="false" customHeight="false" outlineLevel="0" collapsed="false">
      <c r="A145" s="13" t="s">
        <v>305</v>
      </c>
      <c r="B145" s="13" t="s">
        <v>394</v>
      </c>
      <c r="C145" s="14" t="n">
        <v>295263</v>
      </c>
      <c r="D145" s="13" t="s">
        <v>395</v>
      </c>
      <c r="E145" s="13" t="s">
        <v>294</v>
      </c>
    </row>
    <row r="146" customFormat="false" ht="15" hidden="false" customHeight="false" outlineLevel="0" collapsed="false">
      <c r="A146" s="13" t="s">
        <v>327</v>
      </c>
      <c r="B146" s="13" t="s">
        <v>394</v>
      </c>
      <c r="C146" s="14" t="n">
        <v>4321762</v>
      </c>
      <c r="D146" s="13" t="s">
        <v>395</v>
      </c>
      <c r="E146" s="13" t="s">
        <v>329</v>
      </c>
    </row>
    <row r="147" customFormat="false" ht="15" hidden="false" customHeight="false" outlineLevel="0" collapsed="false">
      <c r="A147" s="13" t="s">
        <v>327</v>
      </c>
      <c r="B147" s="13" t="s">
        <v>391</v>
      </c>
      <c r="C147" s="14" t="n">
        <v>850698</v>
      </c>
      <c r="D147" s="13" t="s">
        <v>392</v>
      </c>
      <c r="E147" s="13" t="s">
        <v>329</v>
      </c>
    </row>
    <row r="148" customFormat="false" ht="15" hidden="false" customHeight="false" outlineLevel="0" collapsed="false">
      <c r="A148" s="13" t="s">
        <v>327</v>
      </c>
      <c r="B148" s="13" t="s">
        <v>396</v>
      </c>
      <c r="C148" s="14" t="n">
        <v>207</v>
      </c>
      <c r="D148" s="13" t="s">
        <v>392</v>
      </c>
      <c r="E148" s="13" t="s">
        <v>329</v>
      </c>
    </row>
    <row r="149" customFormat="false" ht="15" hidden="false" customHeight="false" outlineLevel="0" collapsed="false">
      <c r="A149" s="13" t="s">
        <v>327</v>
      </c>
      <c r="B149" s="13" t="s">
        <v>397</v>
      </c>
      <c r="C149" s="14" t="n">
        <v>14250</v>
      </c>
      <c r="D149" s="13" t="s">
        <v>392</v>
      </c>
      <c r="E149" s="13" t="s">
        <v>329</v>
      </c>
    </row>
    <row r="153" customFormat="false" ht="23.85" hidden="false" customHeight="false" outlineLevel="0" collapsed="false">
      <c r="A153" s="4" t="s">
        <v>398</v>
      </c>
    </row>
    <row r="154" customFormat="false" ht="124.6" hidden="false" customHeight="false" outlineLevel="0" collapsed="false">
      <c r="A154" s="3" t="s">
        <v>399</v>
      </c>
    </row>
    <row r="155" customFormat="false" ht="102.2" hidden="false" customHeight="false" outlineLevel="0" collapsed="false">
      <c r="A155" s="3" t="s">
        <v>400</v>
      </c>
    </row>
    <row r="156" customFormat="false" ht="113.4" hidden="false" customHeight="false" outlineLevel="0" collapsed="false">
      <c r="A156" s="3" t="s">
        <v>401</v>
      </c>
    </row>
    <row r="157" customFormat="false" ht="102.2" hidden="false" customHeight="false" outlineLevel="0" collapsed="false">
      <c r="A157" s="3" t="s">
        <v>402</v>
      </c>
    </row>
    <row r="158" customFormat="false" ht="79.85" hidden="false" customHeight="false" outlineLevel="0" collapsed="false">
      <c r="A158" s="3" t="s">
        <v>403</v>
      </c>
    </row>
    <row r="159" customFormat="false" ht="68.65" hidden="false" customHeight="false" outlineLevel="0" collapsed="false">
      <c r="A159" s="3" t="s">
        <v>404</v>
      </c>
    </row>
    <row r="160" customFormat="false" ht="91" hidden="false" customHeight="false" outlineLevel="0" collapsed="false">
      <c r="A160" s="3" t="s">
        <v>405</v>
      </c>
    </row>
    <row r="161" customFormat="false" ht="15" hidden="false" customHeight="false" outlineLevel="0" collapsed="false">
      <c r="A161" s="3"/>
    </row>
    <row r="162" customFormat="false" ht="113.4" hidden="false" customHeight="false" outlineLevel="0" collapsed="false">
      <c r="A162" s="3" t="s">
        <v>406</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96"/>
    <col collapsed="false" customWidth="true" hidden="false" outlineLevel="0" max="4" min="4" style="0" width="104"/>
  </cols>
  <sheetData>
    <row r="1" customFormat="false" ht="33.75" hidden="false" customHeight="true" outlineLevel="0" collapsed="false">
      <c r="A1" s="5" t="s">
        <v>407</v>
      </c>
      <c r="B1" s="5" t="s">
        <v>256</v>
      </c>
      <c r="C1" s="5" t="s">
        <v>408</v>
      </c>
      <c r="D1" s="5" t="s">
        <v>409</v>
      </c>
    </row>
    <row r="2" customFormat="false" ht="46.25" hidden="false" customHeight="false" outlineLevel="0" collapsed="false">
      <c r="A2" s="6" t="s">
        <v>410</v>
      </c>
      <c r="B2" s="6" t="s">
        <v>411</v>
      </c>
      <c r="C2" s="6" t="s">
        <v>412</v>
      </c>
      <c r="D2" s="6" t="s">
        <v>413</v>
      </c>
    </row>
    <row r="3" customFormat="false" ht="46.25" hidden="false" customHeight="false" outlineLevel="0" collapsed="false">
      <c r="A3" s="6" t="s">
        <v>414</v>
      </c>
      <c r="B3" s="6" t="s">
        <v>411</v>
      </c>
      <c r="C3" s="6" t="s">
        <v>415</v>
      </c>
      <c r="D3" s="6" t="s">
        <v>416</v>
      </c>
    </row>
    <row r="4" customFormat="false" ht="35.05" hidden="false" customHeight="false" outlineLevel="0" collapsed="false">
      <c r="A4" s="6" t="s">
        <v>417</v>
      </c>
      <c r="B4" s="6" t="s">
        <v>418</v>
      </c>
      <c r="C4" s="6" t="s">
        <v>419</v>
      </c>
      <c r="D4" s="6" t="s">
        <v>420</v>
      </c>
    </row>
    <row r="5" customFormat="false" ht="46.25" hidden="false" customHeight="false" outlineLevel="0" collapsed="false">
      <c r="A5" s="6" t="s">
        <v>421</v>
      </c>
      <c r="B5" s="6" t="s">
        <v>422</v>
      </c>
      <c r="C5" s="6" t="s">
        <v>423</v>
      </c>
      <c r="D5" s="6" t="s">
        <v>424</v>
      </c>
    </row>
    <row r="6" customFormat="false" ht="23.85" hidden="false" customHeight="false" outlineLevel="0" collapsed="false">
      <c r="A6" s="6" t="s">
        <v>425</v>
      </c>
      <c r="B6" s="6" t="s">
        <v>426</v>
      </c>
      <c r="C6" s="6" t="s">
        <v>427</v>
      </c>
      <c r="D6" s="6" t="s">
        <v>428</v>
      </c>
    </row>
    <row r="7" customFormat="false" ht="35.05" hidden="false" customHeight="false" outlineLevel="0" collapsed="false">
      <c r="A7" s="6" t="s">
        <v>429</v>
      </c>
      <c r="B7" s="6" t="s">
        <v>430</v>
      </c>
      <c r="C7" s="6" t="s">
        <v>431</v>
      </c>
      <c r="D7" s="6" t="s">
        <v>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2026-08-17T13:09:13Z</dcterms:created>
  <dc:creator>openpyxl</dc:creator>
  <dc:description/>
  <dc:language>en-US</dc:language>
  <cp:lastModifiedBy/>
  <dcterms:modified xsi:type="dcterms:W3CDTF">2026-08-17T13:09:13Z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