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1_Plot_Level" sheetId="2" state="visible" r:id="rId4"/>
    <sheet name="2_Aggregate_Stats" sheetId="3" state="visible" r:id="rId5"/>
    <sheet name="3_Satellite_Layers" sheetId="4" state="visible" r:id="rId6"/>
    <sheet name="4_Live_APIs" sheetId="5" state="visible" r:id="rId7"/>
    <sheet name="5_KA_District_2022_23" sheetId="6" state="visible" r:id="rId8"/>
    <sheet name="6_Targeting_Playbook" sheetId="7" state="visible" r:id="rId9"/>
    <sheet name="7_Commercial" sheetId="8" state="visible" r:id="rId10"/>
    <sheet name="8_Access_Request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<sst xmlns="http://schemas.openxmlformats.org/spreadsheetml/2006/main" count="726" uniqueCount="629">
  <si>
    <t xml:space="preserve">Karnataka Agricultural Irrigation Data — Source Inventory &amp; Access Guide</t>
  </si>
  <si>
    <t xml:space="preserve">Prepared 17 August 2026 for OneRoot. Objective: identify farmland that is IRRIGATED (canal / tank / borewell / lift / dug well) rather than rain-fed, at the finest spatial resolution obtainable, so field staff can target those farms.</t>
  </si>
  <si>
    <t xml:space="preserve">THE ONE-PARAGRAPH ANSWER</t>
  </si>
  <si>
    <t xml:space="preserve">Karnataka has exactly one government dataset that records irrigation source against an individual survey number: the RTC / Pahani (Bhoomi), Column 8 plus the Khushki / Tari / Bagayat extent split. It is a revenue-classification field set at land settlement, so it is authoritative for land CLASS but stale for present-day borewells. The only per-plot dataset refreshed every season is the Karnataka Crop Survey (Bele Sameekshe), which geo-tags every survey number each season and captures the type of irrigation adopted. Neither has an open bulk API. Everything else is either an aggregate (district / taluk / village) or a satellite-derived estimate. The practical build for field targeting is: KGIS parcel geometry + KGIS lat-long-to-survey-number API + a Sentinel-2 February-to-May greenness classifier, calibrated on RTC / Crop Survey labels, with India-WRIS canal command areas as a hard prior.</t>
  </si>
  <si>
    <t xml:space="preserve">WHAT IS IN THIS WORKBOOK</t>
  </si>
  <si>
    <t xml:space="preserve">1_Plot_Level            — survey-number / lat-long level sources. Read this first.</t>
  </si>
  <si>
    <t xml:space="preserve">2_Aggregate_Stats       — village, taluk and district irrigation statistics by source.</t>
  </si>
  <si>
    <t xml:space="preserve">3_Satellite_Layers      — every remote-sensing irrigation product usable over Karnataka, with GEE asset IDs.</t>
  </si>
  <si>
    <t xml:space="preserve">4_Live_APIs             — endpoints verified live on 17 Aug 2026, with copy-paste example calls.</t>
  </si>
  <si>
    <t xml:space="preserve">5_KA_District_2022_23   — REAL DATA: net &amp; gross irrigated area by source for all 31 districts, pulled live.</t>
  </si>
  <si>
    <t xml:space="preserve">6_Targeting_Playbook    — the recommended step-by-step build for field-staff targeting.</t>
  </si>
  <si>
    <t xml:space="preserve">7_Commercial            — vendors who will sell you a version of this.</t>
  </si>
  <si>
    <t xml:space="preserve">8_Access_Requests       — the three letters worth writing, and to whom.</t>
  </si>
  <si>
    <t xml:space="preserve">COLOUR KEY IN THE 'Access' COLUMN</t>
  </si>
  <si>
    <t xml:space="preserve">Green  = Open. Downloadable now, no permission needed.</t>
  </si>
  <si>
    <t xml:space="preserve">Amber  = Free but needs registration, a login, or scraping.</t>
  </si>
  <si>
    <t xml:space="preserve">Red    = Requires an MoU, a commercial contract, or is not obtainable in bulk at all.</t>
  </si>
  <si>
    <t xml:space="preserve">HONESTY NOTES</t>
  </si>
  <si>
    <t xml:space="preserve">• No product — government or commercial — gives you a reliable, current, plot-level irrigated/rain-fed flag for all of Karnataka today. Anyone claiming otherwise is selling a satellite estimate.</t>
  </si>
  <si>
    <t xml:space="preserve">• Karnataka's irrigation is now overwhelmingly borewell-driven: 56.6% of net irrigated area in 2022-23 (see sheet 5). That matters, because borewells are invisible to canal command-area maps and are added faster than land records are updated.</t>
  </si>
  <si>
    <t xml:space="preserve">• The single biggest trap for a satellite approach in Karnataka: rabi jowar / chickpea / safflower on black cotton soil in Vijayapura, Bagalkot, Kalaburagi, Bidar and Vijayanagara is RAIN-FED, grown on residual vertisol moisture. A naive 'green in rabi = irrigated' rule will mislabel a large share of north Karnataka. Use the February–May window instead.</t>
  </si>
  <si>
    <t xml:space="preserve">• Endpoints marked VERIFIED were called successfully on 17 Aug 2026. Some Indian government hosts geo-restrict or block automated requests; a few could not be reached from outside India and are marked accordingly.</t>
  </si>
  <si>
    <t xml:space="preserve">Source</t>
  </si>
  <si>
    <t xml:space="preserve">Custodian</t>
  </si>
  <si>
    <t xml:space="preserve">Granularity</t>
  </si>
  <si>
    <t xml:space="preserve">Irrigation_content</t>
  </si>
  <si>
    <t xml:space="preserve">Access</t>
  </si>
  <si>
    <t xml:space="preserve">How</t>
  </si>
  <si>
    <t xml:space="preserve">URL</t>
  </si>
  <si>
    <t xml:space="preserve">Format</t>
  </si>
  <si>
    <t xml:space="preserve">Caveats</t>
  </si>
  <si>
    <t xml:space="preserve">Priority</t>
  </si>
  <si>
    <t xml:space="preserve">Bhoomi RTC / Pahani (Record of Rights, Tenancy &amp; Crops)</t>
  </si>
  <si>
    <t xml:space="preserve">Revenue Dept, Karnataka (Bhoomi Monitoring Cell)</t>
  </si>
  <si>
    <t xml:space="preserve">Survey number + hissa</t>
  </si>
  <si>
    <t xml:space="preserve">THE key record. Column 8 = 'Sources of irrigation of the land parcel' with ayakat (area) under each source. Column 5 = soil / land classification. The extent block splits total area into Khushki (ಖುಷ್ಕಿ, dry/rain-fed), Tari (ತರಿ, wet — canal/tank), Bagayat (ಬಾಗಾಯ್ತು, garden — well/borewell), each assessed at a different revenue rate. Column 13 = season-wise crops.</t>
  </si>
  <si>
    <t xml:space="preserve">Amber — free per-record view; ₹15–25 for signed i-RTC; no bulk</t>
  </si>
  <si>
    <t xml:space="preserve">View: landrecords.karnataka.gov.in/service2/RTC.aspx (free, captcha). Signed i-RTC: rtc.karnataka.gov.in/Service78/ with i-Wallet top-up.</t>
  </si>
  <si>
    <t xml:space="preserve">https://landrecords.karnataka.gov.in/service2/RTC.aspx</t>
  </si>
  <si>
    <t xml:space="preserve">HTML page / digitally-signed PDF with barcode. Not JSON — you will be parsing.</t>
  </si>
  <si>
    <t xml:space="preserve">Column 8 is a SETTLEMENT-ERA field. It reflects the irrigation regime at the last land re-classification, not the borewell drilled in 2019. The GoI land-records quality evaluation notes crop details (Col 13) are 'often incorrect or not updated'. Treat the Khushki/Tari/Bagayat extent split as the reliable part — it is tied to revenue assessment and therefore audited. ~10 lakh RoRs issued/month; servers slow in working hours.</t>
  </si>
  <si>
    <t xml:space="preserve">1 — highest, if you can get bulk access</t>
  </si>
  <si>
    <t xml:space="preserve">Karnataka Crop Survey / Bele Sameekshe (ಬೆಳೆ ಸಮೀಕ್ಷೆ)</t>
  </si>
  <si>
    <t xml:space="preserve">Dept of Agriculture, Karnataka</t>
  </si>
  <si>
    <t xml:space="preserve">Survey number + hissa, GPS-tagged, with field photograph</t>
  </si>
  <si>
    <t xml:space="preserve">Every season (Kharif / Rabi / Summer), every survey number in the state is surveyed by the farmer or a Private Resident enumerator via mobile app. The stated purpose includes recording 'the crops sown and the TYPE OF IRRIGATION ADOPTED'. Writes back into RTC Col 13.</t>
  </si>
  <si>
    <t xml:space="preserve">Amber — public per-survey-number lookup; bulk needs MoU</t>
  </si>
  <si>
    <t xml:space="preserve">Public lookup: cropsurvey.karnataka.gov.in/2023/CropSurveyDetails. Season report: farmercropsurvey.karnataka.gov.in. KGIS analytics front-end: kgis.ksrsac.in/cropanalysis/. Apps: com.csk.farmer23_24.cropsurvey (farmer), com.csk.PR_Kharif_2025.cropsurvey (enumerator).</t>
  </si>
  <si>
    <t xml:space="preserve">https://cropsurvey.karnataka.gov.in/</t>
  </si>
  <si>
    <t xml:space="preserve">ASP.NET web pages; underlying DB is the state 'single source of truth' shared with banks and insurers.</t>
  </si>
  <si>
    <t xml:space="preserve">This is the most CURRENT plot-level irrigation signal in India and the best possible training-label source for a satellite model. But: the 2026-27 guidelines state that for PMFBY reconciliation the irrigation type is explicitly NOT considered as a matching criterion — so the field is captured but not adjudicated, meaning enumerator care is variable. Verify the public page actually renders the irrigation column.</t>
  </si>
  <si>
    <t xml:space="preserve">1 — highest for training labels</t>
  </si>
  <si>
    <t xml:space="preserve">KGIS Web API (survey number ↔ lat-long bridge)</t>
  </si>
  <si>
    <t xml:space="preserve">KSRSAC, DPAR (e-Governance), Karnataka</t>
  </si>
  <si>
    <t xml:space="preserve">Survey number polygon (WKT) and point-in-polygon lookup</t>
  </si>
  <si>
    <t xml:space="preserve">No irrigation attribute. This is the GEOMETRY and ADDRESSING layer — it is how you turn a field-staff GPS ping into District/Taluk/Hobli/Village/Survey Number, and a survey number into a polygon you can run satellite statistics over.</t>
  </si>
  <si>
    <t xml:space="preserve">Amber — documented REST API, access keys from KSRSAC</t>
  </si>
  <si>
    <t xml:space="preserve">12 documented REST services. Most useful: (11) 'Nearby Location Details' — lat/long → survey number + full rural hierarchy; (7) 'Geometric Polygon Area' — KGIS VillageId + Survey Number → polygon in WKT; (3) 'Survey Number' — village code + coords → survey numbers; (1) 'Admin Hierarchy' — supports type=kgis|lgd|bhoomi so you can cross-walk KGIS codes to Bhoomi codes.</t>
  </si>
  <si>
    <t xml:space="preserve">https://kgis.ksrsac.in/kgis/webapi.aspx</t>
  </si>
  <si>
    <t xml:space="preserve">JSON, GET (POST for zonation). Coordinates in decimal degrees or UTM Zone 43N.</t>
  </si>
  <si>
    <t xml:space="preserve">VERIFIED: the API documentation page is live and lists all 12 services with parameters and response fields. Base URLs and auth keys are NOT published — email kgissupport@ksrsac.in. This is the single most operationally useful API in this whole list for your use case.</t>
  </si>
  <si>
    <t xml:space="preserve">1 — request access this week</t>
  </si>
  <si>
    <t xml:space="preserve">Dishaank app (cadastral parcel viewer)</t>
  </si>
  <si>
    <t xml:space="preserve">KSRSAC / SSLR, Karnataka</t>
  </si>
  <si>
    <t xml:space="preserve">Survey number + hissa polygon on satellite imagery, with GPS blue-dot</t>
  </si>
  <si>
    <t xml:space="preserve">NONE. Common misconception. Dishaank's 'land type' is TENURE class (private / government / forest / lake bed / rajakaluve / road), not Khushki/Tari/Bagayat. It has an 'RTC' button that simply redirects to Bhoomi.</t>
  </si>
  <si>
    <t xml:space="preserve">Amber — free app, no bulk export</t>
  </si>
  <si>
    <t xml:space="preserve">Android com.ksrsac.sslr; iOS 'Dishaank(KSRSAC)'. Attributes on tap: district/taluk/hobli/village, survey+hissa, extent, owner, land type, government restrictions, court injunction flags, Bhoomi Land Beat encroachment status.</t>
  </si>
  <si>
    <t xml:space="preserve">https://play.google.com/store/apps/details?id=com.ksrsac.sslr</t>
  </si>
  <si>
    <t xml:space="preserve">Mobile app only.</t>
  </si>
  <si>
    <t xml:space="preserve">Coverage gap that matters: village maps are 100% georeferenced (33,000 sheets) but only ~61% of hissa/subdivision maps are (1.10 crore of 1.81 crore parcels). ULPIN assigned to 1.10 crore parcels. Use it for field verification, not as a data source.</t>
  </si>
  <si>
    <t xml:space="preserve">3 — useful for field staff on the ground, not for the pipeline</t>
  </si>
  <si>
    <t xml:space="preserve">Akarband (settlement classification register)</t>
  </si>
  <si>
    <t xml:space="preserve">SSLR / Revenue Dept</t>
  </si>
  <si>
    <t xml:space="preserve">Survey number</t>
  </si>
  <si>
    <t xml:space="preserve">The SOURCE record behind RTC Columns 4/5/8. Contains survey/hissa, total extent, soil classification, kharab A/B vs cultivable split, water source details (government or other irrigation sources), rate per acre and revenue assessment.</t>
  </si>
  <si>
    <t xml:space="preserve">Amber — per-record, ~₹99 via resellers</t>
  </si>
  <si>
    <t xml:space="preserve">Through Bhoomi/SSLR or commercial procurement (Landeed, mypatta).</t>
  </si>
  <si>
    <t xml:space="preserve">https://www.landeed.com/post/understanding-the-akarband-document-in-karnataka</t>
  </si>
  <si>
    <t xml:space="preserve">Scanned/typed document PDF.</t>
  </si>
  <si>
    <t xml:space="preserve">The most under-used source in Karnataka. If an RTC's Column 8 looks blank or garbled, the Akarband usually has the original entry. No bulk access. Historical Akarbands are being scanned under Bhu-Suraksha (5.07 crore pages) but are unindexed images.</t>
  </si>
  <si>
    <t xml:space="preserve">3 — use for spot-resolution of ambiguous parcels</t>
  </si>
  <si>
    <t xml:space="preserve">Samrakshane (PMFBY crop insurance, Karnataka)</t>
  </si>
  <si>
    <t xml:space="preserve">Dept of Agriculture / NIC</t>
  </si>
  <si>
    <t xml:space="preserve">Gram Panchayat / village (Insurance Unit) for major crops; hobli/taluk for minor crops. Enrolment is per survey number.</t>
  </si>
  <si>
    <t xml:space="preserve">Each season's notification lists, per crop per Insurance Unit, a Scale of Finance and Sum Insured that DIFFERS for the irrigated vs unirrigated variant. So the notification is effectively a crop × village × irrigated/rain-fed register, refreshed every Kharif and Rabi.</t>
  </si>
  <si>
    <t xml:space="preserve">Amber — public cascade, scrapeable; no API</t>
  </si>
  <si>
    <t xml:space="preserve">District → Taluk → Hobli → Gram Panchayat → Village cascade on samrakshane.karnataka.gov.in/Premium/Crops_You_Can_Insure.aspx returns the notified crop list with irrigated/unirrigated flag, sum insured, premium, cut-off date. Same content in the seasonal PDF notification.</t>
  </si>
  <si>
    <t xml:space="preserve">https://www.samrakshane.karnataka.gov.in/</t>
  </si>
  <si>
    <t xml:space="preserve">ASP.NET postback cascade / PDF notification.</t>
  </si>
  <si>
    <t xml:space="preserve">Genuinely village-scale, genuinely current, and legally public. Underused. The dropdowns are deterministic so a scraper is feasible, but it is scraping — check terms. Enrolment is de-duplicated against Bhoomi RoR, so the underlying data is parcel-linked.</t>
  </si>
  <si>
    <t xml:space="preserve">2 — best free village-level CURRENT irrigation signal</t>
  </si>
  <si>
    <t xml:space="preserve">FRUITS (Farmer Registration &amp; Unified beneficiary Information System)</t>
  </si>
  <si>
    <t xml:space="preserve">DPAR (e-Governance) + NIC, Karnataka</t>
  </si>
  <si>
    <t xml:space="preserve">Farmer (FID) linked to survey numbers</t>
  </si>
  <si>
    <t xml:space="preserve">No irrigation field confirmed in the FRUITS schema itself. It holds FID, Aadhaar, survey number + extent pulled from Bhoomi, crop details pulled from the Crop Survey DB, and scheme benefits. Irrigation would come indirectly via the Crop Survey join.</t>
  </si>
  <si>
    <t xml:space="preserve">Red — role-based departmental / bank login only</t>
  </si>
  <si>
    <t xml:space="preserve">Farmer self-registration, CSC, or departmental login. Banks onboarded administratively for crop-loan charge creation.</t>
  </si>
  <si>
    <t xml:space="preserve">https://fruits.karnataka.gov.in/</t>
  </si>
  <si>
    <t xml:space="preserve">Web app. No public API.</t>
  </si>
  <si>
    <t xml:space="preserve">This is Karnataka's farmer golden record and the state's AgriStack Farmer Registry substrate. Valuable as an identity spine if you ever get a departmental MoU; not an irrigation source on its own.</t>
  </si>
  <si>
    <t xml:space="preserve">4</t>
  </si>
  <si>
    <t xml:space="preserve">Karnataka Land Resource Inventory (LRI) / Sujala-III / REWARD</t>
  </si>
  <si>
    <t xml:space="preserve">Watershed Development Dept + ICAR-NBSS&amp;LUP</t>
  </si>
  <si>
    <t xml:space="preserve">Cadastral / parcel level, 1:10,000</t>
  </si>
  <si>
    <t xml:space="preserve">Parcel-level soil and land-resource attributes. Soil texture at parcel level is exactly the covariate needed to fix the north-Karnataka vertisol rabi false-positive problem in a satellite model. Sujala-III covers 2,937 micro-watersheds across 13 taluks.</t>
  </si>
  <si>
    <t xml:space="preserve">Red — login required, coverage undocumented</t>
  </si>
  <si>
    <t xml:space="preserve">sujala3lri.karnataka.gov.in — request access from Watershed Development Dept.</t>
  </si>
  <si>
    <t xml:space="preserve">https://sujala3lri.karnataka.gov.in/Home/Rewards</t>
  </si>
  <si>
    <t xml:space="preserve">Web portal / GIS.</t>
  </si>
  <si>
    <t xml:space="preserve">Worth a formal request. Partial state coverage only.</t>
  </si>
  <si>
    <t xml:space="preserve">3</t>
  </si>
  <si>
    <t xml:space="preserve">Mojini V3 (survey / measurement workflow)</t>
  </si>
  <si>
    <t xml:space="preserve">SSLR, Karnataka</t>
  </si>
  <si>
    <t xml:space="preserve">Survey number sketches (11E, tippan, atlas)</t>
  </si>
  <si>
    <t xml:space="preserve">None. Geometry and sub-division sketches only.</t>
  </si>
  <si>
    <t xml:space="preserve">Amber — fee per document</t>
  </si>
  <si>
    <t xml:space="preserve">bhoomojini.karnataka.gov.in</t>
  </si>
  <si>
    <t xml:space="preserve">https://bhoomojini.karnataka.gov.in/</t>
  </si>
  <si>
    <t xml:space="preserve">PDF sketches.</t>
  </si>
  <si>
    <t xml:space="preserve">Use when Dishaank/KGIS geometry is missing for a parcel (the 39% ungeoreferenced hissa gap).</t>
  </si>
  <si>
    <t xml:space="preserve">Bhu-Naksha</t>
  </si>
  <si>
    <t xml:space="preserve">—</t>
  </si>
  <si>
    <t xml:space="preserve">NOT APPLICABLE — Karnataka does not use Bhu-Naksha.</t>
  </si>
  <si>
    <t xml:space="preserve">Karnataka's cadastral map stack is Dishaank + Mojini + KGIS.</t>
  </si>
  <si>
    <t xml:space="preserve">Listed here only to save you the search.</t>
  </si>
  <si>
    <t xml:space="preserve">Level</t>
  </si>
  <si>
    <t xml:space="preserve">Coverage</t>
  </si>
  <si>
    <t xml:space="preserve">Variables</t>
  </si>
  <si>
    <t xml:space="preserve">Endpoint</t>
  </si>
  <si>
    <t xml:space="preserve">Licence</t>
  </si>
  <si>
    <t xml:space="preserve">Notes</t>
  </si>
  <si>
    <t xml:space="preserve">Land Use Statistics — Sources of Irrigation (mirrored on India Data Portal)</t>
  </si>
  <si>
    <t xml:space="preserve">District × year × source</t>
  </si>
  <si>
    <t xml:space="preserve">742 districts, 36 states, 1998-99 to 2023-24</t>
  </si>
  <si>
    <t xml:space="preserve">Net &amp; Gross irrigated area (ha) by Canal (Govt/Private), Tank, Well (Tubewell / Other Well), Other Source</t>
  </si>
  <si>
    <t xml:space="preserve">Open — direct CSV, no key</t>
  </si>
  <si>
    <t xml:space="preserve">https://ckandev.indiadataportal.com/dataset/8742251a-5ca1-483d-936a-f68306663cc9/resource/ef174105-0886-45f2-bd0d-679c45e05845/download/sources-of-irrigation.csv</t>
  </si>
  <si>
    <t xml:space="preserve">CSV, 15.6 MB, 181,500 rows</t>
  </si>
  <si>
    <t xml:space="preserve">Open Data Commons Attribution</t>
  </si>
  <si>
    <t xml:space="preserve">VERIFIED LIVE 17 Aug 2026. Karnataka = 9,024 rows. Also queryable via CKAN datastore_search with filters (see 4_Live_APIs). THIS IS THE BEST SINGLE DOWNLOAD IN THIS ENTIRE LIST. Sheet 5 is built from it.</t>
  </si>
  <si>
    <t xml:space="preserve">Source Wise Irrigated Area under LUS (data.gov.in original)</t>
  </si>
  <si>
    <t xml:space="preserve">All India, 48,782 records</t>
  </si>
  <si>
    <t xml:space="preserve">state, district, year, irrigationsource (e.g. Net_Wells_Tubewell), irrigatedareainha</t>
  </si>
  <si>
    <t xml:space="preserve">Free-reg — API key</t>
  </si>
  <si>
    <t xml:space="preserve">https://api.data.gov.in/resource/512a034f-6924-42d8-9a76-d40bfb56424a?api-key=KEY&amp;format=csv&amp;limit=1000&amp;offset=0</t>
  </si>
  <si>
    <t xml:space="preserve">JSON / CSV / XML</t>
  </si>
  <si>
    <t xml:space="preserve">Government Open Data Licence — India</t>
  </si>
  <si>
    <t xml:space="preserve">VERIFIED LIVE. Same underlying data as the row above but with composite source keys. WARNING: server-side filters[state]=Karnataka silently returns 0 rows on this resource — you must page with limit/offset and filter client-side.</t>
  </si>
  <si>
    <t xml:space="preserve">5th Minor Irrigation Census (2013-14) — VILLAGE level</t>
  </si>
  <si>
    <t xml:space="preserve">State → District → Block/Tehsil → VILLAGE</t>
  </si>
  <si>
    <t xml:space="preserve">All India, 192,790 rows on the dugwell table alone</t>
  </si>
  <si>
    <t xml:space="preserve">Counts of pucca / kutcha / dug-cum-bore wells, shallow &amp; medium tubewells, surface flow &amp; surface lift schemes; CCA and season-wise irrigation potential created &amp; utilised; ownership; cost</t>
  </si>
  <si>
    <t xml:space="preserve">https://api.data.gov.in/resource/89baee64-e9c8-4e8e-9576-dd8b4bac3372?api-key=KEY&amp;format=csv&amp;limit=1000&amp;offset=0</t>
  </si>
  <si>
    <t xml:space="preserve">JSON / CSV</t>
  </si>
  <si>
    <t xml:space="preserve">GODL-India</t>
  </si>
  <si>
    <t xml:space="preserve">VERIFIED LIVE. THE ONLY VILLAGE-LEVEL IRRIGATION INFRASTRUCTURE COUNT AVAILABLE AS AN API. 14 sibling resources listed in 4_Live_APIs. Same no-server-side-filter caveat: page all ~193k rows (~200 calls at limit=1000) and filter to Karnataka locally.</t>
  </si>
  <si>
    <t xml:space="preserve">6th Minor Irrigation Census (2017-18) — Karnataka Village Schedule</t>
  </si>
  <si>
    <t xml:space="preserve">Village</t>
  </si>
  <si>
    <t xml:space="preserve">Karnataka</t>
  </si>
  <si>
    <t xml:space="preserve">Village geographical area, cultivated area, net irrigated area, MI-irrigated area; ground-water and surface-water schemes</t>
  </si>
  <si>
    <t xml:space="preserve">Free-reg — resolve UUID first</t>
  </si>
  <si>
    <t xml:space="preserve">https://www.data.gov.in/resource/6th-minor-irrigation-census-village-schedule-karnataka</t>
  </si>
  <si>
    <t xml:space="preserve">JSON / CSV via api.data.gov.in once you have the UUID</t>
  </si>
  <si>
    <t xml:space="preserve">Newer than the 5th census. The Karnataka resource UUID did not surface via the fuzzy /lists title search — open the slug page in a browser and copy the api.data.gov.in/resource/&lt;uuid&gt; link it prints. Context: 6th MI Census ranks Karnataka #1 in India for medium tube-wells and #2 for surface water schemes.</t>
  </si>
  <si>
    <t xml:space="preserve">Census of India 2011 — Village Directory</t>
  </si>
  <si>
    <t xml:space="preserve">VILLAGE (all 29,000+ Karnataka revenue villages)</t>
  </si>
  <si>
    <t xml:space="preserve">2011</t>
  </si>
  <si>
    <t xml:space="preserve">Area irrigated by Canals / Wells+Tubewells (combined) / Tanks+Lakes / Waterfall / Other Source, plus TOTAL UNIRRIGATED AREA — all in hectares</t>
  </si>
  <si>
    <t xml:space="preserve">Free-reg — SHRUG form, or open via DCHB PDFs</t>
  </si>
  <si>
    <t xml:space="preserve">https://www.devdatalab.org/shrug_download/  (variables pc11_vd_land_canal_irr, pc11_vd_land_wl_tw_irr, pc11_vd_land_tnk_lk_irr, pc11_vd_land_un_irr)</t>
  </si>
  <si>
    <t xml:space="preserve">Stata .dta and CSV; ships with open-source village polygons</t>
  </si>
  <si>
    <t xml:space="preserve">SHRUG is CC BY-NC-SA 4.0 — NON-COMMERCIAL</t>
  </si>
  <si>
    <t xml:space="preserve">The only village-level irrigated-AREA-by-source dataset in existence for Karnataka. LICENCE WARNING: if OneRoot's use is commercial, SHRUG's CC BY-NC-SA licence does not permit it — go to the primary DCHB / data.gov.in 'Village Amenities Census 2011' release instead, which carries no such restriction.</t>
  </si>
  <si>
    <t xml:space="preserve">Census of India 2001 — Village Directory</t>
  </si>
  <si>
    <t xml:space="preserve">VILLAGE</t>
  </si>
  <si>
    <t xml:space="preserve">2001</t>
  </si>
  <si>
    <t xml:space="preserve">Much richer source split than 2011: canal (govt/private), well WITHOUT electricity, tubewell WITHOUT electricity, tubewell WITH electricity, tank, river, lake, waterfall, other, total irrigated, unirrigated</t>
  </si>
  <si>
    <t xml:space="preserve">Free-reg</t>
  </si>
  <si>
    <t xml:space="preserve">https://docs.devdatalab.org/SHRUG-Metadata/Population%20Census/Tables/vd01-metadata/</t>
  </si>
  <si>
    <t xml:space="preserve">Stata .dta / CSV</t>
  </si>
  <si>
    <t xml:space="preserve">CC BY-NC-SA 4.0 (SHRUG)</t>
  </si>
  <si>
    <t xml:space="preserve">If you specifically need well-vs-tubewell or electrified-vs-not at village level, 2001 is the ONLY source. 2011 collapsed them. ~10-11% missingness.</t>
  </si>
  <si>
    <t xml:space="preserve">Agriculture Census (incl. Input Survey)</t>
  </si>
  <si>
    <t xml:space="preserve">State / District / TEHSIL (= taluk)</t>
  </si>
  <si>
    <t xml:space="preserve">1995-96, 2000-01, 2005-06, 2010-11, 2015-16, 2021-22 (Input Survey 2022-23)</t>
  </si>
  <si>
    <t xml:space="preserve">Number &amp; area of operational holdings; net irrigated / unirrigated area by holding-size class and social group; sources of irrigation (Phase-III Input Survey)</t>
  </si>
  <si>
    <t xml:space="preserve">Open — web query tool</t>
  </si>
  <si>
    <t xml:space="preserve">https://agcensus.da.gov.in/  (query DB: https://agcensus1.da.gov.in/)</t>
  </si>
  <si>
    <t xml:space="preserve">HTML tables / Excel export</t>
  </si>
  <si>
    <t xml:space="preserve">Government of India</t>
  </si>
  <si>
    <t xml:space="preserve">The nationally-consistent TALUK-level source. Note agcensus1.da.gov.in has an expired TLS certificate — browsers will warn.</t>
  </si>
  <si>
    <t xml:space="preserve">Karnataka DES — District at a Glance</t>
  </si>
  <si>
    <t xml:space="preserve">TALUK</t>
  </si>
  <si>
    <t xml:space="preserve">Per district booklet, roughly 2011-12 to 2022-23</t>
  </si>
  <si>
    <t xml:space="preserve">Taluk-wise net &amp; gross irrigated area by canal, tank, well, borewell/tubewell, lift, other; unirrigated area</t>
  </si>
  <si>
    <t xml:space="preserve">Open — PDF</t>
  </si>
  <si>
    <t xml:space="preserve">https://des.karnataka.gov.in/info-2/Publication+Training+and+Co-ordination+(PTC)/Reports/en  and district NIC sites e.g. https://gadag.nic.in/en/dag/</t>
  </si>
  <si>
    <t xml:space="preserve">PDF (some districts publish XLS)</t>
  </si>
  <si>
    <t xml:space="preserve">Government of Karnataka</t>
  </si>
  <si>
    <t xml:space="preserve">THE ONLY ROUTINELY-PUBLISHED TALUK-LEVEL SOURCE-WISE IRRIGATION TABLE FOR KARNATAKA. DES's own listing is patchy; the reliable route is each district's NIC website. PDF-scraping required. des.karnataka.gov.in geo-restricts non-Indian traffic.</t>
  </si>
  <si>
    <t xml:space="preserve">CGWB IN-GRES — Dynamic Ground Water Resources</t>
  </si>
  <si>
    <t xml:space="preserve">TALUK (Karnataka assessed at block/taluk level, ~230-240 units)</t>
  </si>
  <si>
    <t xml:space="preserve">Assessment years 2020, 2022, 2023, 2024 (annual)</t>
  </si>
  <si>
    <t xml:space="preserve">Recharge from rainfall / canals / surface irrigation / tanks; annual extractable resource; GROUNDWATER EXTRACTION FOR IRRIGATION; stage of extraction %; category (Safe / Semi-critical / Critical / Over-exploited)</t>
  </si>
  <si>
    <t xml:space="preserve">Open — dashboard export; internal API undocumented</t>
  </si>
  <si>
    <t xml:space="preserve">https://ingres.iith.ac.in/gecdataonline/gis/INDIA  •  Karnataka 2024 PDF: https://cgwb.gov.in/cgwbpnm/public/uploads/documents/17482455401275100516file.pdf</t>
  </si>
  <si>
    <t xml:space="preserve">PDF / Excel per unit; NetCDF n/a</t>
  </si>
  <si>
    <t xml:space="preserve">BEST RECURRING TALUK-LEVEL PROXY FOR BOREWELL IRRIGATION INTENSITY. Over-exploited taluks = dense borewell irrigation = your target geography. The Angular front-end calls an internal JSON backend via POST; inspect the browser network tab to capture it (undocumented, unstable).</t>
  </si>
  <si>
    <t xml:space="preserve">ICRISAT District Level Database (long time series)</t>
  </si>
  <si>
    <t xml:space="preserve">District (1966 boundaries, apportioned)</t>
  </si>
  <si>
    <t xml:space="preserve">1966-67 to 2011-12, 19 states incl. Karnataka</t>
  </si>
  <si>
    <t xml:space="preserve">Net irrigated area by canals, tanks, tube wells, other wells, total wells, other sources; crop-wise irrigated area for 17 crops</t>
  </si>
  <si>
    <t xml:space="preserve">http://data.icrisat.org/dld/src/irrigation.html</t>
  </si>
  <si>
    <t xml:space="preserve">Excel / CSV</t>
  </si>
  <si>
    <t xml:space="preserve">ICRISAT, free with registration</t>
  </si>
  <si>
    <t xml:space="preserve">Best long historical series. Boundaries held constant to 1966, so joins to modern districts need a crosswalk.</t>
  </si>
  <si>
    <t xml:space="preserve">India-WRIS — Command Areas &amp; Canals (spatial)</t>
  </si>
  <si>
    <t xml:space="preserve">Irrigation project polygons and canal lines</t>
  </si>
  <si>
    <t xml:space="preserve">All India</t>
  </si>
  <si>
    <t xml:space="preserve">Command area polygons (CCA), main canal / branch / distributary / minor networks, minor irrigation metrics, water bodies, aquifers</t>
  </si>
  <si>
    <t xml:space="preserve">Open — public unauthenticated ArcGIS REST</t>
  </si>
  <si>
    <t xml:space="preserve">https://arc.indiawris.gov.in/server/rest/services/SubInfoSysLCC/CommandArea/MapServer  (also /MinorIrrigation, /WaterBodies, /GWP, /AquiferSystems)</t>
  </si>
  <si>
    <t xml:space="preserve">ArcGIS REST → GeoJSON; OGC WMS via .../MapServer/WMSServer</t>
  </si>
  <si>
    <t xml:space="preserve">VERIFIED LIVE 17 Aug 2026 — 22 services enumerated in folder SubInfoSysLCC, ArcGIS Server 10.81. THE HARD PRIOR FOR YOUR TARGETING: land inside a command area is canal-irrigable; irrigated land OUTSIDE one is groundwater-fed. Harvest with esri2geojson or QGIS 'ArcGIS REST Server' connection. Legacy host india-wris.nrsc.gov.in is dead.</t>
  </si>
  <si>
    <t xml:space="preserve">PMKSY Per Drop More Crop (micro-irrigation)</t>
  </si>
  <si>
    <t xml:space="preserve">State (Karnataka district-level not published on OGD); geo-tagged ASSETS on Bhuvan</t>
  </si>
  <si>
    <t xml:space="preserve">2005-06 onward</t>
  </si>
  <si>
    <t xml:space="preserve">Drip &amp; sprinkler area covered, central assistance; Bhuvan PDMC holds geo-tagged drip/sprinkler/pivot/pumpset/check-dam assets</t>
  </si>
  <si>
    <t xml:space="preserve">Amber — Bhuvan viewer, no bulk</t>
  </si>
  <si>
    <t xml:space="preserve">https://bhuvan-app1.nrsc.gov.in/pdmc/  •  https://pdmc.da.gov.in/</t>
  </si>
  <si>
    <t xml:space="preserve">Web GIS / OGD tables</t>
  </si>
  <si>
    <t xml:space="preserve">Bhuvan PDMC is the closest thing to plot-level micro-irrigation asset data in India. No public WMS or bulk download advertised — worth an access request to NRSC. Drip/sprinkler farms are exactly the high-value irrigated farms your field staff want.</t>
  </si>
  <si>
    <t xml:space="preserve">Karnataka Economic Survey / Karnataka at a Glance</t>
  </si>
  <si>
    <t xml:space="preserve">State + district; taluk in some KAAG chapters</t>
  </si>
  <si>
    <t xml:space="preserve">Annual</t>
  </si>
  <si>
    <t xml:space="preserve">Irrigation potential created/utilised, area under irrigation, micro-irrigation coverage</t>
  </si>
  <si>
    <t xml:space="preserve">Open — CKAN + PDF</t>
  </si>
  <si>
    <t xml:space="preserve">https://data.opencity.in/dataset/economic-survey-of-karnataka-2024-25  •  https://kgis.ksrsac.in/kag/</t>
  </si>
  <si>
    <t xml:space="preserve">CSV (CKAN 2.11 API available) / PDF / spatial dashboard</t>
  </si>
  <si>
    <t xml:space="preserve">No irrigation CSV in the 2024-25 Economic Survey set; irrigation is in the PDF chapters. KGIS 'Karnataka at a Glance' is a spatial dashboard covering all 31 districts with village and panchayat categories — no documented export.</t>
  </si>
  <si>
    <t xml:space="preserve">Karnataka irrigation corporations (KNNL, KBJNL, CNNL, VJNL) and CADA</t>
  </si>
  <si>
    <t xml:space="preserve">Project / command area</t>
  </si>
  <si>
    <t xml:space="preserve">CCA / ICA, potential contemplated / created / utilised, canal networks</t>
  </si>
  <si>
    <t xml:space="preserve">Red — narrative pages only, essentially nothing machine-readable</t>
  </si>
  <si>
    <t xml:space="preserve">https://knnl.karnataka.gov.in/english  •  https://waterresources.kar.nic.in/cada.htm</t>
  </si>
  <si>
    <t xml:space="preserve">HTML / PDF annual reports</t>
  </si>
  <si>
    <t xml:space="preserve">Honest assessment: no downloadable CCA/ICA register, no canal shapefile release. Use India-WRIS for the geometry instead. CAG performance audits actually carry the best project-wise CCA/ICA tables. WARNING: knnlindia.com is a DEAD domain that now redirects to an unrelated commercial site — the official host is knnl.karnataka.gov.in.</t>
  </si>
  <si>
    <t xml:space="preserve">Dataset</t>
  </si>
  <si>
    <t xml:space="preserve">Res</t>
  </si>
  <si>
    <t xml:space="preserve">Years</t>
  </si>
  <si>
    <t xml:space="preserve">Access_ID</t>
  </si>
  <si>
    <t xml:space="preserve">Accuracy_India</t>
  </si>
  <si>
    <t xml:space="preserve">Verdict</t>
  </si>
  <si>
    <t xml:space="preserve">ICRISAT India Irrigated / Rainfed Cropland 10 m</t>
  </si>
  <si>
    <t xml:space="preserve">10 m</t>
  </si>
  <si>
    <t xml:space="preserve">2024-25</t>
  </si>
  <si>
    <t xml:space="preserve">GEE app: https://ee-my-pytest.projects.earthengine.app/view/indiairrigatedrainfed10m2025 (internal name India_Irrigated_Rainfed_10m_2025)</t>
  </si>
  <si>
    <t xml:space="preserve">Unstated</t>
  </si>
  <si>
    <t xml:space="preserve">'around 90% accuracy in mapping cropland' and 'nearly 70% accuracy in distinguishing irrigated from rainfed systems' — ICRISAT's own wording, self-reported, no peer-reviewed paper yet</t>
  </si>
  <si>
    <t xml:space="preserve">Red — no public asset ID or download yet</t>
  </si>
  <si>
    <t xml:space="preserve">NEWEST AND MOST RELEVANT. India-specific, 10 m, 2024-25, from dense Sentinel-2 time series plus field observations. VERIFIED against ICRISAT's own press release. But: no published asset ID, no licence statement, no DOI, no Crossref record, and the app is hosted on what looks like a personal test GEE project (ee-my-pytest) — treat availability as fragile. Lead scientist: Dr Muralikrishna Gumma, Principal Scientist, Geospatial and Big Data Sciences, ICRISAT (he is also lead author of the 30 m South Asia product below). EMAILING THEM FOR THE ASSET ID OR A KARNATAKA CLIP IS THE HIGHEST-VALUE SINGLE ACTION IN THIS ENTIRE REPORT.</t>
  </si>
  <si>
    <t xml:space="preserve">LGRIP30 V001 (Landsat-derived Global Rainfed/Irrigated-Cropland Product)</t>
  </si>
  <si>
    <t xml:space="preserve">30 m</t>
  </si>
  <si>
    <t xml:space="preserve">Nominal 2015 (Landsat-8 2014-2017)</t>
  </si>
  <si>
    <t xml:space="preserve">Global incl. India</t>
  </si>
  <si>
    <t xml:space="preserve">GEE asset: projects/sat-io/open-datasets/GFSAD/LGRIP30   •   LP DAAC: https://lpdaac.usgs.gov/products/lgrip30v001/</t>
  </si>
  <si>
    <t xml:space="preserve">Public domain (CC0-equivalent)</t>
  </si>
  <si>
    <t xml:space="preserve">NO Indian accuracy figures ever published</t>
  </si>
  <si>
    <t xml:space="preserve">Open</t>
  </si>
  <si>
    <t xml:space="preserve">BEST FREE GLOBAL IRRIGATED/RAIN-FED RASTER COVERING INDIA. Classes: 0 = ocean AND INLAND WATER BODIES (this matters — Karnataka's tanks and reservoirs fall in class 0, so mask carefully), 1 = non-cropland, 2 = IRRIGATED cropland, 3 = RAINFED cropland. IMPORTANT CORRECTION to a widely-repeated claim: the headline 91.2% accuracy is CONUS-2020 only and applies to V002. V002 is CONUS-ONLY (confirmed via NASA CMR) — do not plan around it for India. V001 / nominal 2015 is what you have. Minimum mappable unit is 3×3 pixels = 0.81 ha, right at the size of a median Karnataka holding, so expect degradation.</t>
  </si>
  <si>
    <t xml:space="preserve">ESA WorldCereal — active irrigation</t>
  </si>
  <si>
    <t xml:space="preserve">2021 only</t>
  </si>
  <si>
    <t xml:space="preserve">Global, with agro-ecological-zone gaps</t>
  </si>
  <si>
    <t xml:space="preserve">GEE: ESA/WorldCereal/2021/MODELS/v100 filtered to product=='irrigation'   •   Zenodo: https://zenodo.org/records/7875105</t>
  </si>
  <si>
    <t xml:space="preserve">CC-BY 4.0</t>
  </si>
  <si>
    <t xml:space="preserve">NONE PUBLISHED — validation was qualitative only</t>
  </si>
  <si>
    <t xml:space="preserve">Looks like the safe 10 m default. It is not. Its own ESSD paper describes it as deliberately CONSERVATIVE, notes 'especially sparse' training data biased toward centre-pivot systems, and flags substantial disagreement over Asia suggesting UNDER-estimation. It defines irrigation as extensive application over a prolonged period, explicitly excluding supplemental irrigation — which is much of how Karnataka rabi irrigation actually works. Use as a conservative lower bound, not a primary source. Check your Karnataka AEZ tiles exist at all.</t>
  </si>
  <si>
    <t xml:space="preserve">ICRISAT South Asia Irrigated vs Rainfed 30 m</t>
  </si>
  <si>
    <t xml:space="preserve">Crop year 2014-15</t>
  </si>
  <si>
    <t xml:space="preserve">South Asia</t>
  </si>
  <si>
    <t xml:space="preserve">http://maps.icrisat.org/  •  Paper: https://doi.org/10.1080/15481603.2022.2088651</t>
  </si>
  <si>
    <t xml:space="preserve">ICRISAT</t>
  </si>
  <si>
    <t xml:space="preserve">Overall 79.8%. Irrigated PA 79% / UA 87%. Rainfed PA 74% / UA 63%</t>
  </si>
  <si>
    <t xml:space="preserve">The best PEER-REVIEWED accuracy numbers for South Asia. Note the asymmetry: rain-fed user's accuracy is only 63%, meaning over a third of pixels labelled rain-fed are actually irrigated. For your use case (finding irrigated farms) that error direction is in your favour for recall but means you will miss real targets.</t>
  </si>
  <si>
    <t xml:space="preserve">Ambika, Wardlow &amp; Mishra — India irrigated area</t>
  </si>
  <si>
    <t xml:space="preserve">250 m</t>
  </si>
  <si>
    <t xml:space="preserve">2000-2015, annual</t>
  </si>
  <si>
    <t xml:space="preserve">Figshare (open): https://dx.doi.org/10.6084/m9.figshare.3790611.v1</t>
  </si>
  <si>
    <t xml:space="preserve">R²=0.95, RMSE 0.83 Mha vs state ground-survey data</t>
  </si>
  <si>
    <t xml:space="preserve">Best India TIME SERIES. Authors' own stated limits matter for you: it OVER-ESTIMATES irrigated area because 250 m cannot resolve smallholdings, and it degrades in humid/sub-humid zones where irrigated and non-irrigated NDVI converge — i.e. coastal Karnataka, Malnad and the Western Ghats belt will be unreliable. 250 m ≈ 6.25 ha ≈ five Karnataka farms per pixel. Trend and context only.</t>
  </si>
  <si>
    <t xml:space="preserve">GMIE-100 — global maximum irrigation extent</t>
  </si>
  <si>
    <t xml:space="preserve">100 m</t>
  </si>
  <si>
    <t xml:space="preserve">Derived 2017-2019</t>
  </si>
  <si>
    <t xml:space="preserve">Global</t>
  </si>
  <si>
    <t xml:space="preserve">Harvard Dataverse: https://doi.org/10.7910/DVN/HKBAQQ</t>
  </si>
  <si>
    <t xml:space="preserve">83.6% ± 0.6% global overall. India: 94.85 Mha irrigated = 50.4% of cropland, ranked 1st globally</t>
  </si>
  <si>
    <t xml:space="preserve">Method keys on NDVI response to DROUGHT stress, so it performs well in arid/semi-arid (&gt;80%) and badly in humid zones (42-49% in SE Asia). Read that as: good for north and interior Karnataka, unreliable for coastal Karnataka and Malnad.</t>
  </si>
  <si>
    <t xml:space="preserve">Downscaled global irrigation WATER SOURCES (groundwater vs surface)</t>
  </si>
  <si>
    <t xml:space="preserve">60 m</t>
  </si>
  <si>
    <t xml:space="preserve">2000/2005/2010/2015</t>
  </si>
  <si>
    <t xml:space="preserve">Figshare: https://doi.org/10.6084/m9.figshare.c.7318916  •  GEE script: https://code.earthengine.google.com/58dd5cf536982587f924e8a01777a448</t>
  </si>
  <si>
    <t xml:space="preserve">73% producer's accuracy in groundwater-dominated Indian regions; validated on 8,355 rice-farmer survey plots</t>
  </si>
  <si>
    <t xml:space="preserve">UNUSUALLY VALUABLE FOR KARNATAKA because it maps not just irrigated/rain-fed but the WATER SOURCE — groundwater vs surface. Karnataka is 57% borewell-irrigated, so a groundwater/surface split is directly actionable. 60 m is coarse for 1 ha fields but usable as a prior.</t>
  </si>
  <si>
    <t xml:space="preserve">GCI30 — global cropping intensity</t>
  </si>
  <si>
    <t xml:space="preserve">2016-2018</t>
  </si>
  <si>
    <t xml:space="preserve">GEE: projects/sat-io/open-datasets/GCI30</t>
  </si>
  <si>
    <t xml:space="preserve">CC0</t>
  </si>
  <si>
    <t xml:space="preserve">Classes: 1=single, 2=double, 3=triple, 127=continuous</t>
  </si>
  <si>
    <t xml:space="preserve">UNDERRATED AND POSSIBLY YOUR BEST CHEAP PROXY. In semi-arid interior Karnataka — Chitradurga, Tumakuru, Kolar, Vijayapura, Kalaburagi, Raichur, Ballari — annual rainfall CANNOT support double or triple cropping. So GCI30 ≥2 in those districts is near-conclusive evidence of irrigation, and it is often a better irrigation indicator than the actual irrigation products.</t>
  </si>
  <si>
    <t xml:space="preserve">Google Satellite Embedding (AlphaEarth Foundations)</t>
  </si>
  <si>
    <t xml:space="preserve">2017-present, annual</t>
  </si>
  <si>
    <t xml:space="preserve">GEE: GOOGLE/SATELLITE_EMBEDDING/V1/ANNUAL — 64 bands A00-A63</t>
  </si>
  <si>
    <t xml:space="preserve">n/a — this is a feature backbone, not a product</t>
  </si>
  <si>
    <t xml:space="preserve">PROBABLY YOUR SINGLE HIGHEST-LEVERAGE ASSET. Google's own docs state the embeddings capture crop phenology plus climatic variables and are well-suited to crop-type mapping with minimal training data. With a few thousand labelled Karnataka parcels (from RTC or Crop Survey) you can likely beat every published product without hand-engineering phenology features.</t>
  </si>
  <si>
    <t xml:space="preserve">NRSC LULC 1:50,000 (LULC50K)</t>
  </si>
  <si>
    <t xml:space="preserve">1:50,000 from ~24 m LISS-III</t>
  </si>
  <si>
    <t xml:space="preserve">2005-06, 2011-12, 2015-16</t>
  </si>
  <si>
    <t xml:space="preserve">India</t>
  </si>
  <si>
    <t xml:space="preserve">Bhuvan 'Clip and Ship': https://bhuvan-app1.nrsc.gov.in/thematic/thematic/index.php  •  WMS host: https://bhuvan-vec2.nrsc.gov.in/bhuvan/wms</t>
  </si>
  <si>
    <t xml:space="preserve">NRSC — free for non-commercial with attribution; COMMERCIAL REDISTRIBUTION NEEDS PERMISSION</t>
  </si>
  <si>
    <t xml:space="preserve">Level-III classes separate Kharif / Rabi / Zaid / cropped-in-2-seasons / cropped-in-&gt;2-seasons</t>
  </si>
  <si>
    <t xml:space="preserve">The most useful OFFICIAL Indian product. In semi-arid Karnataka the Rabi, Zaid and 2+-season classes are strong irrigation indicators. Layer naming follows lulc:&lt;ST&gt;_LULC50K_1112 (2011-12 cycle) and vector:&lt;ST&gt;_LULC50K_0506 — so Karnataka should be lulc:KA_LULC50K_1112, but VERIFY against a live GetCapabilities in QGIS before relying on the exact string; NRSC hosts geo-restrict.</t>
  </si>
  <si>
    <t xml:space="preserve">Bhuvan Sat-AIBP (Accelerated Irrigation Benefit Programme monitoring)</t>
  </si>
  <si>
    <t xml:space="preserve">Cartosat-based</t>
  </si>
  <si>
    <t xml:space="preserve">Biannual since 2013</t>
  </si>
  <si>
    <t xml:space="preserve">150+ projects incl. Karnataka</t>
  </si>
  <si>
    <t xml:space="preserve">https://bhuvan-app1.nrsc.gov.in/aibp/aibp.php</t>
  </si>
  <si>
    <t xml:space="preserve">NRSC</t>
  </si>
  <si>
    <t xml:space="preserve">Amber — view only</t>
  </si>
  <si>
    <t xml:space="preserve">Canal networks, command areas and irrigated-area mapping for major projects. View-only, no bulk download. Useful for cross-checking India-WRIS command-area polygons.</t>
  </si>
  <si>
    <t xml:space="preserve">Sentinel-2 SR Harmonized</t>
  </si>
  <si>
    <t xml:space="preserve">2015-present</t>
  </si>
  <si>
    <t xml:space="preserve">GEE: COPERNICUS/S2_SR_HARMONIZED</t>
  </si>
  <si>
    <t xml:space="preserve">Copernicus open</t>
  </si>
  <si>
    <t xml:space="preserve">Your primary source imagery. Build NDVI, NDMI and EVI from it. The Berambadi (Karnataka) studies found that COMBINING all three indices was essential — individual indices performed poorly.</t>
  </si>
  <si>
    <t xml:space="preserve">Sentinel-1 GRD (SAR)</t>
  </si>
  <si>
    <t xml:space="preserve">2014-present</t>
  </si>
  <si>
    <t xml:space="preserve">GEE: COPERNICUS/S1_GRD (VV, VH)</t>
  </si>
  <si>
    <t xml:space="preserve">Sees through monsoon cloud. Published unsupervised rule for irrigation EVENT detection: change in plot-mean VV between consecutive passes ≤ -0.5 dB = no irrigation; ≥ +1.0 dB = probable irrigation event. Tested on plots 0.1-65 ha, ~86% overall discrimination. CONSTELLATION STATUS (checked Aug 2026, and better than most write-ups assume): S1B failed 23 Dec 2021, but S1C launched 5 Dec 2024 and became fully operational May 2025, and S1D launched 4 Nov 2025 and is operational from mid-April 2026. The constellation is back to a SIX-DAY exact repeat cycle. If you read anywhere that Sentinel-1 revisit is 12 days, that advice is out of date. 6-day revisit makes individual irrigation-event detection viable again, not just seasonal classification. Do still check the published acquisition-plan KMLs for your Karnataka tiles — constellation capability and actual tasking are not the same thing.</t>
  </si>
  <si>
    <t xml:space="preserve">GFSAD30 South Asia (GFSAD30SAAFGIRCE)</t>
  </si>
  <si>
    <t xml:space="preserve">Nominal 2015</t>
  </si>
  <si>
    <t xml:space="preserve">https://lpdaac.usgs.gov/products/gfsad30saafgircev001/</t>
  </si>
  <si>
    <t xml:space="preserve">CORRECTION TO A COMMON MISCONCEPTION: this product does NOT contain irrigated vs rain-fed classes. NASA CMR confirms a single uint8 band, 'Cropland Extent … defined with three classes', valid range 0-2 — cropland / non-cropland / water bodies. (The exact numeric code order is not stated on any reachable NASA page, so check the user guide or a histogram of the GeoTIFF before hardcoding a mask — getting it inverted is a silent failure.) If you want the irrigated/rain-fed split from the GFSAD family, you want LGRIP30, not GFSAD30.</t>
  </si>
  <si>
    <t xml:space="preserve">IWMI GIAM (Global Irrigated Area Map)</t>
  </si>
  <si>
    <t xml:space="preserve">10 km global / 500 m South Asia / 30 m Krishna Basin</t>
  </si>
  <si>
    <t xml:space="preserve">Nominal 2000</t>
  </si>
  <si>
    <t xml:space="preserve">https://wbwaterdata.org/dataset/global-irrigated-area-mapping-giam (legacy IWMI portal is effectively dead)</t>
  </si>
  <si>
    <t xml:space="preserve">IWMI</t>
  </si>
  <si>
    <t xml:space="preserve">R²=0.76, RMSE 7.99 Mha — poor. The 10 km version reports 132-146 Mha for India vs 83 Mha officially</t>
  </si>
  <si>
    <t xml:space="preserve">Amber</t>
  </si>
  <si>
    <t xml:space="preserve">Historical reference only, do NOT use operationally. The one genuinely interesting artefact is the 30 m KRISHNA BASIN layer, which covers northern Karnataka and includes irrigation water source and cropping intensity classes — but it is 2000-vintage and you will have to email IWMI for it.</t>
  </si>
  <si>
    <t xml:space="preserve">Mehta et al. 2024 global area-equipped-for-irrigation</t>
  </si>
  <si>
    <t xml:space="preserve">5 arcmin (~10 km)</t>
  </si>
  <si>
    <t xml:space="preserve">https://zenodo.org/record/7809342</t>
  </si>
  <si>
    <t xml:space="preserve">0.58 pixel-level accuracy</t>
  </si>
  <si>
    <t xml:space="preserve">This is STATISTICAL DOWNSCALING of reported irrigation statistics, not a remote-sensing classification. Pixel-level accuracy 0.58, which the authors attribute to smallholder scale. Useful for the macro story (India = 36% of global unsustainable irrigation expansion) and nothing else.</t>
  </si>
  <si>
    <t xml:space="preserve">FAO WaPOR — Karnataka K2 actual evapotranspiration</t>
  </si>
  <si>
    <t xml:space="preserve">Jun 2010 – May 2018, monthly</t>
  </si>
  <si>
    <t xml:space="preserve">Middle Krishna sub-basin, KARNATAKA</t>
  </si>
  <si>
    <t xml:space="preserve">https://data.apps.fao.org/catalog/iso/4631cb7c-001c-4924-9df7-6c379da8c0e2</t>
  </si>
  <si>
    <t xml:space="preserve">CC BY-NC-SA 4.0 — NON-COMMERCIAL</t>
  </si>
  <si>
    <t xml:space="preserve">Open (non-commercial only)</t>
  </si>
  <si>
    <t xml:space="preserve">A Karnataka-specific ET layer, which is rare. LICENCE WARNING: non-commercial only. WaPOR v3 global at 100 m is the alternative. Note OpenET does not exist for India — it is CONUS-only.</t>
  </si>
  <si>
    <t xml:space="preserve">NASA GRACE groundwater mass</t>
  </si>
  <si>
    <t xml:space="preserve">~300 km</t>
  </si>
  <si>
    <t xml:space="preserve">2002-present</t>
  </si>
  <si>
    <t xml:space="preserve">GEE: NASA/GRACE/MASS_GRIDS/V04/MASCON</t>
  </si>
  <si>
    <t xml:space="preserve">Useful for the narrative that north Karnataka groundwater is depleting. USELESS for field-level work at 300 km. Do not overclaim with it — CGWB IN-GRES taluk-level stage-of-extraction is a far better groundwater prior.</t>
  </si>
  <si>
    <t xml:space="preserve">Name</t>
  </si>
  <si>
    <t xml:space="preserve">Status</t>
  </si>
  <si>
    <t xml:space="preserve">Method</t>
  </si>
  <si>
    <t xml:space="preserve">Example</t>
  </si>
  <si>
    <t xml:space="preserve">Auth</t>
  </si>
  <si>
    <t xml:space="preserve">Returns</t>
  </si>
  <si>
    <t xml:space="preserve">India Data Portal CKAN — Sources of Irrigation (district × year × source)</t>
  </si>
  <si>
    <t xml:space="preserve">VERIFIED LIVE 17 Aug 2026</t>
  </si>
  <si>
    <t xml:space="preserve">GET</t>
  </si>
  <si>
    <t xml:space="preserve">https://ckandev.indiadataportal.com/api/3/action/datastore_search?resource_id=ef174105-0886-45f2-bd0d-679c45e05845&amp;filters={"state_name":"Karnataka","year":"2022-2023"}&amp;limit=100</t>
  </si>
  <si>
    <t xml:space="preserve">None</t>
  </si>
  <si>
    <t xml:space="preserve">JSON. Fields: year, state_name, state_code, district_name, district_code, irrigated_area_type (Net/Gross Irrigated Area), area_classification (Canal/Tank/Well/Other Source), area_sub_classification (Government/Private/Tubewell/Other Well/Tank/Other Source), irrigated_area (ha)</t>
  </si>
  <si>
    <t xml:space="preserve">Total 181,500 rows; Karnataka = 9,024. Server-side filters DO work here (unlike data.gov.in). URL-encode the filters JSON. datastore_search_sql also exists but may be blocked by proxies. Full CSV: .../resource/ef174105-.../download/sources-of-irrigation.csv</t>
  </si>
  <si>
    <t xml:space="preserve">data.gov.in — Source Wise Irrigated Area under LUS</t>
  </si>
  <si>
    <t xml:space="preserve">https://api.data.gov.in/resource/512a034f-6924-42d8-9a76-d40bfb56424a?api-key=YOUR_KEY&amp;format=csv&amp;limit=1000&amp;offset=0</t>
  </si>
  <si>
    <t xml:space="preserve">Free API key from data.gov.in (a public sample key exists but is rate-limited — get your own)</t>
  </si>
  <si>
    <t xml:space="preserve">48,782 records. Fields: id, timestamp, state, district, year, irrigationsource, irrigatedareainha</t>
  </si>
  <si>
    <t xml:space="preserve">WARNING: filters[state]=Karnataka silently returns 0 records. Page with limit/offset and filter client-side.</t>
  </si>
  <si>
    <t xml:space="preserve">data.gov.in — 5th MI Census, dugwells by type, VILLAGE level</t>
  </si>
  <si>
    <t xml:space="preserve">https://api.data.gov.in/resource/89baee64-e9c8-4e8e-9576-dd8b4bac3372?api-key=YOUR_KEY&amp;format=csv&amp;limit=1000&amp;offset=0</t>
  </si>
  <si>
    <t xml:space="preserve">Free API key</t>
  </si>
  <si>
    <t xml:space="preserve">192,790 records. Fields: state, district, block_tehsil, _village, pucca, kutcha, dug_cum_bore_well, others</t>
  </si>
  <si>
    <t xml:space="preserve">Genuine State→District→Block→VILLAGE granularity. Same no-server-side-filter caveat: ~200 calls at limit=1000, filter locally.</t>
  </si>
  <si>
    <t xml:space="preserve">data.gov.in — 5th MI Census sibling resources (14 more)</t>
  </si>
  <si>
    <t xml:space="preserve">Enumerated 17 Aug 2026</t>
  </si>
  <si>
    <t xml:space="preserve">Replace the UUID in the call above. Dugwells permanently unused: 31e12b93-5a9a-4d48-9cfa-d3dd3a3d834a | By owner holding size: ec58e04e-a054-4a9e-b027-fead3e00df95 | Cost of construction: 07b451ee-964a-4f6f-9043-f40f9e05b361 | Cost of maintenance: c3fe8960-298f-4547-99b8-4d6bcb39d19d | CCA &amp; season-wise potential (temp unused): 7e1303cd-ef6a-4c0b-b05d-1bd3e56d63d0 | CCA &amp; season-wise potential (perm unused): d149dea5-632a-46d0-8a53-374d727f66d7 | Surface lift by ownership: 9936122b-7699-4fa9-bf7a-d6752a1cc0eb | Surface lift utilisation: edb308f2-6a1f-4610-abc3-6ffac265acfc | Surface lift construction cost: 2fdbacd7-33d9-4152-a241-6e0e07eed8a8 | Surface lift maintenance cost: a88e11b9-ac8d-4cda-960f-b4993ed1459e | Surface lift owner social status: 7f30854d-53c6-4dbb-bc6b-2c1727dad19e | Surface lift water distribution: 7194ce53-fe08-4914-b3dd-e8c582c3cae2 | Surface lift pumping hours: 6c55a118-9ea1-4d47-92bb-0892840df992</t>
  </si>
  <si>
    <t xml:space="preserve">Village-level minor irrigation infrastructure</t>
  </si>
  <si>
    <t xml:space="preserve">The CCA &amp; season-wise-potential resources are the closest thing to village-level irrigated AREA by scheme.</t>
  </si>
  <si>
    <t xml:space="preserve">India-WRIS ArcGIS REST — Command Areas, Canals, Minor Irrigation</t>
  </si>
  <si>
    <t xml:space="preserve">VERIFIED LIVE 17 Aug 2026 (22 services, ArcGIS 10.81)</t>
  </si>
  <si>
    <t xml:space="preserve">Folder: https://arc.indiawris.gov.in/server/rest/services/SubInfoSysLCC?f=pjson  |  Layers: .../CommandArea/MapServer/layers?f=pjson  |  Query: .../CommandArea/MapServer/0/query?where=1%3D1&amp;outFields=*&amp;f=geojson&amp;returnGeometry=true  |  WMS: .../CommandArea/MapServer/WMSServer?request=GetCapabilities</t>
  </si>
  <si>
    <t xml:space="preserve">GeoJSON / Esri JSON / WMS images</t>
  </si>
  <si>
    <t xml:space="preserve">Services in folder SubInfoSysLCC: Agro_Regions (Feature+Map), AquiferLitholog, AquiferSystems, Coastal_Data, CommandArea, District_Infosys, Glacial_Support, GWP, InlandNavigation, InterBasinTransferLink, LandDegradation, Litholog_Analysis_Depth_Thickness_Material, MinorIrrigation, Reservoir_Survey2021, River_StreamOrder, Socioeconomic, Soil, Wasteland, WaterBodies, WaterResourceProject, Wetlands. Harvest with esri2geojson or QGIS. Endpoint is up but flaky from outside India.</t>
  </si>
  <si>
    <t xml:space="preserve">KGIS Web API — lat/long ↔ survey number</t>
  </si>
  <si>
    <t xml:space="preserve">VERIFIED — docs page live 17 Aug 2026; base URLs not published</t>
  </si>
  <si>
    <t xml:space="preserve">GET (POST for zonation)</t>
  </si>
  <si>
    <t xml:space="preserve">Docs: https://kgis.ksrsac.in/kgis/webapi.aspx — request base URLs and keys from kgissupport@ksrsac.in</t>
  </si>
  <si>
    <t xml:space="preserve">Access keys from KSRSAC (deptcode / applncode parameters imply per-department provisioning)</t>
  </si>
  <si>
    <t xml:space="preserve">JSON. Service 11 'Nearby Location Details': coords + type(DD/UTM) → survey number, village, hobli, taluk, district (codes + names). Service 7 'Geometric Polygon Area': KGIS VillageId + Survey Number → polygon geometry as WKT. Service 3 'Survey Number': village code + coords + distance → survey numbers. Service 1 'Admin Hierarchy': type=kgis|lgd|bhoomi → cross-walk codes.</t>
  </si>
  <si>
    <t xml:space="preserve">THIS IS THE MOST IMPORTANT API FOR YOUR USE CASE. It is the bridge between a field-staff GPS ping and a survey number you can look up in Bhoomi, and between a survey number and a polygon you can run satellite statistics over. Request access immediately.</t>
  </si>
  <si>
    <t xml:space="preserve">KGIS ArcGIS REST map services</t>
  </si>
  <si>
    <t xml:space="preserve">Reported by community inventories; blocked from outside India</t>
  </si>
  <si>
    <t xml:space="preserve">https://kgis.ksrsac.in/kgismaps/rest/services  •  /kgismaps1/  •  /kgismaps2/  •  https://dev.ksrsac.in/maps/rest/services  •  https://landrecords.karnataka.gov.in/service3/</t>
  </si>
  <si>
    <t xml:space="preserve">Often token-gated</t>
  </si>
  <si>
    <t xml:space="preserve">Esri map/feature services</t>
  </si>
  <si>
    <t xml:space="preserve">Not all load in a browser — use QGIS 'ArcGIS REST Server' connection, prefer MapServer over FeatureServer, then export GeoJSON/Shapefile. Public KGIS layers found so far are administrative boundaries; irrigation layers sit under the 'Water Resource and Allied' sector (https://kgis.ksrsac.in/kgis/sector19.aspx) and appear to require a data request. Open mirrors of the boundary layers: https://github.com/samashti/KGIS and https://source.coop/krishnaglodha/ksrsac-gis</t>
  </si>
  <si>
    <t xml:space="preserve">KODI — Karnataka Open Data, Crop Survey JSON API</t>
  </si>
  <si>
    <t xml:space="preserve">UNVERIFIED — registered on data.gov.in, payload not confirmed</t>
  </si>
  <si>
    <t xml:space="preserve">https://kodi.karnataka.gov.in/Crop_Survey/api/CropSurvey/Getdata?key=MjgyMjExODE=  (also keys MTQ2NTExOTE=, NjQzMTE5MQ==; the key base64-decodes to a numeric ID, so it looks like a dataset selector rather than an auth token)</t>
  </si>
  <si>
    <t xml:space="preserve">Apparently none</t>
  </si>
  <si>
    <t xml:space="preserve">Unknown — untested</t>
  </si>
  <si>
    <t xml:space="preserve">The ONLY government-hosted, machine-readable crop-survey JSON endpoint found anywhere in this landscape. Registered on data.gov.in under Agriculture Department, Karnataka. TEST THIS FIRST FROM AN INDIAN IP — if it returns plot-level rows with an irrigation field, it changes everything. Sibling endpoints may be listed at https://karnataka.data.gov.in/apis</t>
  </si>
  <si>
    <t xml:space="preserve">Bhuvan WMS (NRSC) — LULC and thematic layers</t>
  </si>
  <si>
    <t xml:space="preserve">UNVERIFIED from outside India (hosts geo-restrict)</t>
  </si>
  <si>
    <t xml:space="preserve">https://bhuvan-vec2.nrsc.gov.in/bhuvan/wms?service=WMS&amp;version=1.1.1&amp;request=GetCapabilities  (also bhuvan-vec1/vec3, bhuvan-gp1)</t>
  </si>
  <si>
    <t xml:space="preserve">None for WMS; free registration for downloads</t>
  </si>
  <si>
    <t xml:space="preserve">WMS layers</t>
  </si>
  <si>
    <t xml:space="preserve">Layer naming convention: lulc:&lt;ST&gt;_LULC50K_1112 for the 2011-12 cycle, vector:&lt;ST&gt;_LULC50K_0506 for 2005-06. Karnataka is therefore PROBABLY lulc:KA_LULC50K_1112 — VERIFY against a live GetCapabilities in QGIS, do not assume. Also: geocoder API https://bhuvan.nrsc.gov.in/search/v1/json/{placename}/{0-N}</t>
  </si>
  <si>
    <t xml:space="preserve">Bhoomi / DigiLocker via API Setu</t>
  </si>
  <si>
    <t xml:space="preserve">Registered publisher; spec not retrievable</t>
  </si>
  <si>
    <t xml:space="preserve">Provider slug 'landrecordskar', spec v3.0.0. Directory: https://directory.apisetu.gov.in/ → search 'Land'</t>
  </si>
  <si>
    <t xml:space="preserve">DigiLocker Requester organisation with signed agreement</t>
  </si>
  <si>
    <t xml:space="preserve">A SIGNED PDF/URI of the RTC — not parsed fields</t>
  </si>
  <si>
    <t xml:space="preserve">Important reality check: this is a document-pull API. You still have to OCR/parse the PDF to get Column 8. It is not an attribute feed. The other Bhoomi machine interface (XML web services to banks, via the Bhoomi Monitoring Cell) carries ownership and charge data, not irrigation attributes.</t>
  </si>
  <si>
    <t xml:space="preserve">Google Earth Engine</t>
  </si>
  <si>
    <t xml:space="preserve">Python/JS API</t>
  </si>
  <si>
    <t xml:space="preserve">See the accompanying gee_karnataka_irrigation.js script</t>
  </si>
  <si>
    <t xml:space="preserve">Free GEE account; commercial use needs a paid GEE licence</t>
  </si>
  <si>
    <t xml:space="preserve">Rasters, zonal statistics, exports to Drive/GCS/Asset</t>
  </si>
  <si>
    <t xml:space="preserve">Key asset IDs: projects/sat-io/open-datasets/GFSAD/LGRIP30 | ESA/WorldCereal/2021/MODELS/v100 | projects/sat-io/open-datasets/GCI30 | GOOGLE/SATELLITE_EMBEDDING/V1/ANNUAL | COPERNICUS/S2_SR_HARMONIZED | COPERNICUS/S1_GRD | GOOGLE/DYNAMICWORLD/V1</t>
  </si>
  <si>
    <t xml:space="preserve">Karnataka — Net &amp; Gross Irrigated Area by Source, 2022-23 (hectares)</t>
  </si>
  <si>
    <t xml:space="preserve">REAL DATA, pulled live 17 Aug 2026 from the Land Use Statistics 'Sources of Irrigation' resource on India Data Portal (resource_id ef174105-0886-45f2-bd0d-679c45e05845; original publisher: DES-Agri, Ministry of Agriculture &amp; Farmers Welfare). All 31 Karnataka districts, all 372 records for 2022-23. Blank = no area reported (nulls in source). 'Canal (Private)' is null for every Karnataka district and is omitted. Totals and shares below are FORMULAS, so the sheet recalculates if you edit a cell.</t>
  </si>
  <si>
    <t xml:space="preserve">District</t>
  </si>
  <si>
    <t xml:space="preserve">Canal (Government)</t>
  </si>
  <si>
    <t xml:space="preserve">Tank</t>
  </si>
  <si>
    <t xml:space="preserve">Borewell/Tubewell</t>
  </si>
  <si>
    <t xml:space="preserve">Open/Dug Well</t>
  </si>
  <si>
    <t xml:space="preserve">Other Source</t>
  </si>
  <si>
    <t xml:space="preserve">Total Net Irrigated (ha)</t>
  </si>
  <si>
    <t xml:space="preserve">Gross Canal (Government)</t>
  </si>
  <si>
    <t xml:space="preserve">Gross Tank</t>
  </si>
  <si>
    <t xml:space="preserve">Gross Borewell/Tubewell</t>
  </si>
  <si>
    <t xml:space="preserve">Gross Open/Dug Well</t>
  </si>
  <si>
    <t xml:space="preserve">Gross Other Source</t>
  </si>
  <si>
    <t xml:space="preserve">Total Gross (ha)</t>
  </si>
  <si>
    <t xml:space="preserve">Borewell share of net %</t>
  </si>
  <si>
    <t xml:space="preserve">Canal share of net %</t>
  </si>
  <si>
    <t xml:space="preserve">Groundwater (borewell+dug well) share %</t>
  </si>
  <si>
    <t xml:space="preserve">Belagavi</t>
  </si>
  <si>
    <t xml:space="preserve">Vijayapura</t>
  </si>
  <si>
    <t xml:space="preserve">Raichur</t>
  </si>
  <si>
    <t xml:space="preserve">Bagalkote</t>
  </si>
  <si>
    <t xml:space="preserve">Tumakuru</t>
  </si>
  <si>
    <t xml:space="preserve">Yadgir</t>
  </si>
  <si>
    <t xml:space="preserve">Haveri</t>
  </si>
  <si>
    <t xml:space="preserve">Mandya</t>
  </si>
  <si>
    <t xml:space="preserve">Koppal</t>
  </si>
  <si>
    <t xml:space="preserve">Davanagere</t>
  </si>
  <si>
    <t xml:space="preserve">Chitradurga</t>
  </si>
  <si>
    <t xml:space="preserve">Dakshina Kannada</t>
  </si>
  <si>
    <t xml:space="preserve">Shivamogga</t>
  </si>
  <si>
    <t xml:space="preserve">Ballari</t>
  </si>
  <si>
    <t xml:space="preserve">Mysuru</t>
  </si>
  <si>
    <t xml:space="preserve">Kalaburagi</t>
  </si>
  <si>
    <t xml:space="preserve">Chikkamagaluru</t>
  </si>
  <si>
    <t xml:space="preserve">Vijayanagara</t>
  </si>
  <si>
    <t xml:space="preserve">Hassan</t>
  </si>
  <si>
    <t xml:space="preserve">Chamarajanagar</t>
  </si>
  <si>
    <t xml:space="preserve">Gadag</t>
  </si>
  <si>
    <t xml:space="preserve">Uttara Kannada</t>
  </si>
  <si>
    <t xml:space="preserve">Bidar</t>
  </si>
  <si>
    <t xml:space="preserve">Chikkaballapura</t>
  </si>
  <si>
    <t xml:space="preserve">Kolar</t>
  </si>
  <si>
    <t xml:space="preserve">Udupi</t>
  </si>
  <si>
    <t xml:space="preserve">Dharwad</t>
  </si>
  <si>
    <t xml:space="preserve">Bengaluru South</t>
  </si>
  <si>
    <t xml:space="preserve">Bengaluru Rural</t>
  </si>
  <si>
    <t xml:space="preserve">Bengaluru Urban</t>
  </si>
  <si>
    <t xml:space="preserve">Kodagu</t>
  </si>
  <si>
    <t xml:space="preserve">KARNATAKA TOTAL</t>
  </si>
  <si>
    <t xml:space="preserve">HOW TO READ THIS FOR FIELD TARGETING</t>
  </si>
  <si>
    <t xml:space="preserve">• 'Borewell share of net %' near 100% (Tumakuru 99.5%, Chitradurga 99.3%, Vijayapura 91.4%, Haveri 89.9%) means canal command-area maps are useless there — irrigation is entirely groundwater and invisible to India-WRIS. You need satellite or land records.</t>
  </si>
  <si>
    <t xml:space="preserve">• 'Canal share of net %' high (Raichur 76.8%, Yadgir 51.7%, Mandya 46.9%, Koppal 29.2%) means India-WRIS command-area polygons will find most irrigated land for you cheaply, with no satellite work at all. Start there.</t>
  </si>
  <si>
    <t xml:space="preserve">• Districts with large 'Other Source' (Belagavi, Bagalkote, Kalaburagi, Yadgir, Raichur) mostly mean lift irrigation from rivers — check the lift-irrigation schemes in the Minor Irrigation Census village tables.</t>
  </si>
  <si>
    <t xml:space="preserve">• Net vs Gross: gross counts an area twice if irrigated in two seasons. Gross/Net &gt; 1.3 indicates double-cropping, which is itself an irrigation signal and lines up with the GCI30 cropping-intensity proxy.</t>
  </si>
  <si>
    <t xml:space="preserve">SOURCE: Land Use Statistics, DES-Agri, Ministry of Agriculture &amp; Farmers Welfare, Government of India. Mirrored by India Data Portal (ISB) under Open Data Commons Attribution licence. Series covers 1998-99 to 2023-24 — change the 'year' filter in the API call to pull any year.</t>
  </si>
  <si>
    <t xml:space="preserve">Step</t>
  </si>
  <si>
    <t xml:space="preserve">Action</t>
  </si>
  <si>
    <t xml:space="preserve">Detail</t>
  </si>
  <si>
    <t xml:space="preserve">Effort</t>
  </si>
  <si>
    <t xml:space="preserve">Cost</t>
  </si>
  <si>
    <t xml:space="preserve">Output</t>
  </si>
  <si>
    <t xml:space="preserve">0</t>
  </si>
  <si>
    <t xml:space="preserve">Decide your accuracy budget</t>
  </si>
  <si>
    <t xml:space="preserve">You will not get a perfect plot-level irrigated/rain-fed flag for Karnataka. Decide now whether field staff need (a) a ranked list of villages to visit, (b) a ranked list of parcels within a village, or (c) a hard yes/no per farm. (a) is achievable today for free. (b) is achievable in ~6 weeks. (c) requires Bhoomi/Crop Survey bulk access.</t>
  </si>
  <si>
    <t xml:space="preserve">1 day</t>
  </si>
  <si>
    <t xml:space="preserve">Free</t>
  </si>
  <si>
    <t xml:space="preserve">Scope decision</t>
  </si>
  <si>
    <t xml:space="preserve">1</t>
  </si>
  <si>
    <t xml:space="preserve">Free quick win — canal command areas</t>
  </si>
  <si>
    <t xml:space="preserve">Pull India-WRIS CommandArea and Canal polygons for Karnataka from the ArcGIS REST endpoint. Intersect with village boundaries. Any farmland inside a command area is canal-irrigable. This immediately covers Raichur (77% canal), Yadgir (52%), Mandya (47%), Koppal (29%), Davanagere (28%), Gadag, Belagavi and the Tungabhadra / Upper Krishna / Cauvery belts.</t>
  </si>
  <si>
    <t xml:space="preserve">2-3 days</t>
  </si>
  <si>
    <t xml:space="preserve">Canal command polygon layer + village overlap table</t>
  </si>
  <si>
    <t xml:space="preserve">2</t>
  </si>
  <si>
    <t xml:space="preserve">Free quick win — district and taluk prioritisation</t>
  </si>
  <si>
    <t xml:space="preserve">Use sheet 5 (district, current) plus DES District at a Glance PDFs (taluk) plus CGWB IN-GRES taluk stage-of-extraction. Rank taluks by irrigated area and by borewell intensity. Over-exploited groundwater taluks are exactly where borewell irrigation is densest — and therefore where your field staff should be.</t>
  </si>
  <si>
    <t xml:space="preserve">1 week (PDF scraping for taluk)</t>
  </si>
  <si>
    <t xml:space="preserve">Ranked taluk target list</t>
  </si>
  <si>
    <t xml:space="preserve">Village-level layer</t>
  </si>
  <si>
    <t xml:space="preserve">Census 2011 Village Directory irrigated area by source + total unirrigated area, joined to village polygons (SHRUG open polygons or KGIS village boundaries). Add 5th/6th Minor Irrigation Census village-level well and lift-scheme counts from the data.gov.in API. Re-scale the 2011 shares forward using the district-level LUS trend from sheet 5.</t>
  </si>
  <si>
    <t xml:space="preserve">1-2 weeks</t>
  </si>
  <si>
    <t xml:space="preserve">Free (mind the SHRUG non-commercial licence — use DCHB/OGD instead if commercial)</t>
  </si>
  <si>
    <t xml:space="preserve">Village irrigation index for all Karnataka</t>
  </si>
  <si>
    <t xml:space="preserve">Get KGIS API access</t>
  </si>
  <si>
    <t xml:space="preserve">Email kgissupport@ksrsac.in requesting base URLs and access keys for the K-GIS Web API, specifically services 11 (Nearby Location Details), 7 (Geometric Polygon Area) and 1 (Admin Hierarchy with type=bhoomi). State the purpose: resolving field-staff GPS coordinates to survey numbers. This is the piece that makes everything else operational.</t>
  </si>
  <si>
    <t xml:space="preserve">Letter + follow-up</t>
  </si>
  <si>
    <t xml:space="preserve">Likely free or nominal for a registered Indian company</t>
  </si>
  <si>
    <t xml:space="preserve">lat/long → survey number → parcel polygon</t>
  </si>
  <si>
    <t xml:space="preserve">5</t>
  </si>
  <si>
    <t xml:space="preserve">Build the ground-truth label set</t>
  </si>
  <si>
    <t xml:space="preserve">Pick 3 contrasting taluks — one canal (e.g. Sindhanur, Raichur), one borewell (e.g. Sira or Madhugiri, Tumakuru), one humid (e.g. Puttur, Dakshina Kannada). Pull 500-1,000 RTCs each via i-RTC at ₹15-25 apiece and parse the Khushki/Tari/Bagayat extent split and Column 8. Cross-check against the public Crop Survey lookup for the same survey numbers.</t>
  </si>
  <si>
    <t xml:space="preserve">3-4 weeks</t>
  </si>
  <si>
    <t xml:space="preserve">~₹40,000-60,000 for 2,000-3,000 RTCs</t>
  </si>
  <si>
    <t xml:space="preserve">2,000-3,000 labelled parcels — the asset everything else depends on</t>
  </si>
  <si>
    <t xml:space="preserve">6</t>
  </si>
  <si>
    <t xml:space="preserve">Build the satellite classifier</t>
  </si>
  <si>
    <t xml:space="preserve">In Google Earth Engine, at PARCEL level (never pixel level — every Karnataka study that worked did per-parcel aggregation). Primary window: mid-February to mid-May, when Karnataka gets effectively no rain, so any actively green non-perennial cropland is being irrigated. Features: either (a) median + std-dev of NDVI, NDMI and EVI per parcel per window plus Sentinel-1 VV/VH with multi-temporal speckle filtering, or (b) simply the 64 bands of GOOGLE/SATELLITE_EMBEDDING/V1/ANNUAL, which is cheaper and likely competitive. Classifier: Random Forest or SVM. Train on step 5's labels.</t>
  </si>
  <si>
    <t xml:space="preserve">4-6 weeks</t>
  </si>
  <si>
    <t xml:space="preserve">GEE free tier for R&amp;D; paid licence for commercial production use</t>
  </si>
  <si>
    <t xml:space="preserve">10 m parcel-level irrigation probability</t>
  </si>
  <si>
    <t xml:space="preserve">7</t>
  </si>
  <si>
    <t xml:space="preserve">Fuse the priors</t>
  </si>
  <si>
    <t xml:space="preserve">Combine: satellite probability + inside/outside canal command area + GCI30 double/triple cropping + CGWB taluk stage-of-extraction + LGRIP30 + soil texture (to handle the vertisol problem). A simple weighted score or a second-stage model works. Publish a per-parcel confidence, not a bare yes/no.</t>
  </si>
  <si>
    <t xml:space="preserve">2 weeks</t>
  </si>
  <si>
    <t xml:space="preserve">Field-staff targeting score per parcel</t>
  </si>
  <si>
    <t xml:space="preserve">8</t>
  </si>
  <si>
    <t xml:space="preserve">Validate honestly and stratify</t>
  </si>
  <si>
    <t xml:space="preserve">Expect roughly 80-90% overall accuracy in interior and northern semi-arid Karnataka with good labels, and only 60-75% in coastal Karnataka, Malnad and the Western Ghats where rainfall keeps everything green year-round. Build a district-stratified model, not one statewide model. Benchmark against the Berambadi watershed (Gundlupet taluk, Chamarajanagar) which has published ground truth and kappa &gt;0.9 results — if your pipeline can't reproduce that there, it won't work elsewhere.</t>
  </si>
  <si>
    <t xml:space="preserve">Accuracy report by agro-climatic zone</t>
  </si>
  <si>
    <t xml:space="preserve">9</t>
  </si>
  <si>
    <t xml:space="preserve">Pursue bulk land-records access in parallel</t>
  </si>
  <si>
    <t xml:space="preserve">Write to the Centre for e-Governance / Bhoomi Monitoring Cell citing the Karnataka Open Data Policy 2021 (notified 19 Oct 2021), which explicitly allows an Indian company operational for 2+ years to purchase de-identified government data under an NDA. Ask for: village + survey + hissa + Khushki/Tari/Bagayat extent split + Column 8 irrigation source + Column 13 crop, with all owner PII masked. Separately write to the Director, KSRSAC for the Water Resource and Allied sector layers.</t>
  </si>
  <si>
    <t xml:space="preserve">Ongoing, months</t>
  </si>
  <si>
    <t xml:space="preserve">Unpublished — pricing set case by case by 'Data Stewards' under NDA</t>
  </si>
  <si>
    <t xml:space="preserve">The real prize, if it lands</t>
  </si>
  <si>
    <t xml:space="preserve">Provider</t>
  </si>
  <si>
    <t xml:space="preserve">Product</t>
  </si>
  <si>
    <t xml:space="preserve">Irrigation</t>
  </si>
  <si>
    <t xml:space="preserve">Assessment</t>
  </si>
  <si>
    <t xml:space="preserve">SatSure (Bengaluru)</t>
  </si>
  <si>
    <t xml:space="preserve">Sage — agri-lending intelligence; Sparta — farm-level soil moisture; SatSource — state-wide parcel-level report</t>
  </si>
  <si>
    <t xml:space="preserve">Satellite-DERIVED proxies (crop classification, ET, soil moisture, groundwater thickness), not RTC Column 8. An explicit irrigated/rain-fed classification is not publicly advertised — ask directly.</t>
  </si>
  <si>
    <t xml:space="preserve">API-first, designed to integrate with core banking systems. B2B contract, no public pricing.</t>
  </si>
  <si>
    <t xml:space="preserve">https://www.satsure.co/product/sage/</t>
  </si>
  <si>
    <t xml:space="preserve">Most credible vendor for your use case — Bengaluru-based, bank-grade, 2.1M+ farmer plots across 85M ha, ULI-integrated. BUT: SatSource has launched for Uttar Pradesh only; Karnataka is not a named SatSource state. Expect a bespoke engagement, not an off-the-shelf product.</t>
  </si>
  <si>
    <t xml:space="preserve">Landeed</t>
  </si>
  <si>
    <t xml:space="preserve">Document procurement — RTC/Pahani (incl. certified), Akarband, EC, e-Khata, mutation, village maps, across 23+ states and 200+ doc types</t>
  </si>
  <si>
    <t xml:space="preserve">INDIRECT. You get the RTC and Akarband PDFs, which contain Columns 5/8/13 and the water-source line. No parsed irrigation field.</t>
  </si>
  <si>
    <t xml:space="preserve">Document Procurement API — REST endpoints taking survey no / village no. Enterprise, contact-sales. Consumer app ~₹99/doc.</t>
  </si>
  <si>
    <t xml:space="preserve">https://www.landeed.com/document-procurement-api</t>
  </si>
  <si>
    <t xml:space="preserve">The pragmatic way to acquire RTCs at volume without building your own scraper against Bhoomi's captcha and wallet. You still own the PDF-parsing problem. Good fit for step 5 of the playbook (building the label set).</t>
  </si>
  <si>
    <t xml:space="preserve">Cropin (Bengaluru)</t>
  </si>
  <si>
    <t xml:space="preserve">SmartRisk, Cropin Sage/Cloud — plot-level crop detection, yield, risk</t>
  </si>
  <si>
    <t xml:space="preserve">Derived only. Not an advertised standalone layer.</t>
  </si>
  <si>
    <t xml:space="preserve">Enterprise SaaS.</t>
  </si>
  <si>
    <t xml:space="preserve">https://www.cropin.com/</t>
  </si>
  <si>
    <t xml:space="preserve">Strong on crop type and yield, weaker on irrigation specifically.</t>
  </si>
  <si>
    <t xml:space="preserve">TalkingLands</t>
  </si>
  <si>
    <t xml:space="preserve">Spatial intelligence for real estate — Karnataka parcel layers, survey-number verification</t>
  </si>
  <si>
    <t xml:space="preserve">Not offered as an attribute.</t>
  </si>
  <si>
    <t xml:space="preserve">Enterprise SaaS / contact sales.</t>
  </si>
  <si>
    <t xml:space="preserve">https://www.talkinglands.com/</t>
  </si>
  <si>
    <t xml:space="preserve">Useful if you want parcel geometry without going through KSRSAC, but no irrigation content.</t>
  </si>
  <si>
    <t xml:space="preserve">Dataful / Indiastat</t>
  </si>
  <si>
    <t xml:space="preserve">Cleaned, structured Indian statistics incl. year- and district-wise net/gross irrigated area, Karnataka crop-wise irrigated area</t>
  </si>
  <si>
    <t xml:space="preserve">Aggregate statistics only, but cleaned and joined — saves you the scraping.</t>
  </si>
  <si>
    <t xml:space="preserve">Paid subscription.</t>
  </si>
  <si>
    <t xml:space="preserve">https://dataful.in/datasets/4163/</t>
  </si>
  <si>
    <t xml:space="preserve">Worth it only if your team's time is more expensive than the subscription. Everything they sell at district level is free via the APIs in sheet 4.</t>
  </si>
  <si>
    <t xml:space="preserve">ICRISAT (Hyderabad)</t>
  </si>
  <si>
    <t xml:space="preserve">India Irrigated/Rainfed 10 m 2024-25 map; South Asia 30 m 2014-15 products</t>
  </si>
  <si>
    <t xml:space="preserve">YES — direct, and the best India-specific product that exists.</t>
  </si>
  <si>
    <t xml:space="preserve">Non-commercial research institute; no asset ID or licence published yet.</t>
  </si>
  <si>
    <t xml:space="preserve">https://pressroom.icrisat.org/icrisat-unveils-high-resolution-irrigated-rainfed-cropland-map-to-strengthen-national-policy-decisions</t>
  </si>
  <si>
    <t xml:space="preserve">Not a vendor, but the highest-value contact on this list. Email their geospatial group and ask for the GEE asset ID, the licence terms, and a Karnataka clip. Costs nothing to ask.</t>
  </si>
  <si>
    <t xml:space="preserve">Digital Green</t>
  </si>
  <si>
    <t xml:space="preserve">Farmer advisory and extension (FarmerChat)</t>
  </si>
  <si>
    <t xml:space="preserve">None — they are not a satellite data provider.</t>
  </si>
  <si>
    <t xml:space="preserve">https://www.digitalgreen.org/</t>
  </si>
  <si>
    <t xml:space="preserve">Included to correct a common misconception. They do not sell irrigation layers.</t>
  </si>
  <si>
    <t xml:space="preserve">To</t>
  </si>
  <si>
    <t xml:space="preserve">Ask</t>
  </si>
  <si>
    <t xml:space="preserve">Legal_basis</t>
  </si>
  <si>
    <t xml:space="preserve">Expect</t>
  </si>
  <si>
    <t xml:space="preserve">Contact</t>
  </si>
  <si>
    <t xml:space="preserve">Centre for e-Governance / Bhoomi Monitoring Cell, Revenue Department, Government of Karnataka</t>
  </si>
  <si>
    <t xml:space="preserve">De-identified statewide RTC extract: district + taluk + hobli + village + survey number + hissa + total extent + the Khushki / Tari / Bagayat extent split + Column 8 irrigation source + Column 13 crop details. All owner names, addresses, ID numbers and religion masked.</t>
  </si>
  <si>
    <t xml:space="preserve">Karnataka Open Data Policy 2021 (notified 19 Oct 2021), which provides an explicit data-monetisation route allowing any private enterprise registered in India and operational for 2+ years to purchase government data under an NDA with PII masked.</t>
  </si>
  <si>
    <t xml:space="preserve">Pricing is set case by case by departmental 'Data Stewards' with no published formula, under NDA. Months, not weeks. Be specific about the columns you want and explicit that you do not want owner PII — that removes the main objection.</t>
  </si>
  <si>
    <t xml:space="preserve">https://landrecords.karnataka.gov.in/Service37/ContactUS.aspx</t>
  </si>
  <si>
    <t xml:space="preserve">Director, Karnataka State Remote Sensing Applications Centre (KSRSAC), DPAR (e-Governance)</t>
  </si>
  <si>
    <t xml:space="preserve">(a) K-GIS Web API base URLs and access keys, specifically services 1, 3, 7 and 11. (b) The 'Water Resource and Allied' sector GIS layers (tanks, canals, command areas, water bodies). (c) The 'Land Information' cadastral layer. (d) Whether the Karnataka Crop Survey irrigation-type field is available for bulk extract, and under what terms.</t>
  </si>
  <si>
    <t xml:space="preserve">Standard KSRSAC data-sharing request / MoU. Government and academic users typically get data at reproduction cost; commercial users negotiate per-layer or per-district fees.</t>
  </si>
  <si>
    <t xml:space="preserve">Written request on company letterhead to the Director stating purpose. KSRSAC is generally responsive to Indian agri-tech companies. The API access is the part to push hardest for — it is the smallest ask and the biggest unlock.</t>
  </si>
  <si>
    <t xml:space="preserve">kgissupport@ksrsac.in</t>
  </si>
  <si>
    <t xml:space="preserve">Geospatial / Digital Agriculture group, ICRISAT, Patancheru, Hyderabad</t>
  </si>
  <si>
    <t xml:space="preserve">The public GEE asset ID (or a Karnataka clip) and licence terms for the India Irrigated/Rainfed Cropland 10 m 2024-25 map, and for the South Asia 30 m 2014-15 irrigated/rain-fed product.</t>
  </si>
  <si>
    <t xml:space="preserve">Research collaboration / data-sharing request. No policy hurdle.</t>
  </si>
  <si>
    <t xml:space="preserve">Costs nothing, may take a few weeks, and would immediately give you a 10 m India-wide irrigated/rain-fed baseline at ~70% accuracy — far better than starting from a global product.</t>
  </si>
  <si>
    <t xml:space="preserve">Dr Muralikrishna Gumma, Principal Scientist – Geospatial and Big Data Sciences, ICRISAT. Media route: Parkavi Kumar, parkavi.kumar@icrisat.org, +91 40 3071 3296. Announcement: https://pressroom.icrisat.org/icrisat-unveils-high-resolution-irrigated-rainfed-cropland-map-to-strengthen-national-policy-decisions</t>
  </si>
  <si>
    <t xml:space="preserve">Commissioner, Department of Agriculture, Government of Karnataka</t>
  </si>
  <si>
    <t xml:space="preserve">Access to Karnataka Crop Survey (Bele Sameekshe) parcel-level records including the irrigation-type field, for the last 4 seasons, either as a bulk extract or via an API.</t>
  </si>
  <si>
    <t xml:space="preserve">The Crop Survey's own stated purpose includes sharing with 'ecosystem partners like banks and insurance agencies' — position OneRoot as an agri-value-chain ecosystem partner.</t>
  </si>
  <si>
    <t xml:space="preserve">Hardest ask, biggest prize. If it lands you have millions of geo-tagged, seasonally-refreshed irrigation labels — the best training data for a satellite model anywhere in India, and arguably the answer to your original question outright.</t>
  </si>
  <si>
    <t xml:space="preserve">https://raitamitra.karnataka.gov.in/</t>
  </si>
  <si>
    <t xml:space="preserve">National Remote Sensing Centre (NRSC), ISRO, Hyderabad</t>
  </si>
  <si>
    <t xml:space="preserve">Bulk or WMS access to the PDMC geo-tagged micro-irrigation asset layer (drip, sprinkler, pivot, pump sets) for Karnataka, and confirmation of the Bhuvan LULC50K Karnataka WMS layer names.</t>
  </si>
  <si>
    <t xml:space="preserve">Bhuvan data-request process; LULC50K is free for non-commercial use with attribution — commercial redistribution needs written permission.</t>
  </si>
  <si>
    <t xml:space="preserve">PDMC assets are geo-tagged drip and sprinkler installations, i.e. precisely the high-value irrigated farms your field staff want. No public bulk download is advertised, so this needs an ask.</t>
  </si>
  <si>
    <t xml:space="preserve">https://bhuvan.nrsc.gov.in/</t>
  </si>
</sst>
</file>

<file path=xl/styles.xml><?xml version="1.0" encoding="utf-8"?>
<styleSheet xmlns="http://schemas.openxmlformats.org/spreadsheetml/2006/main">
  <numFmts count="3">
    <numFmt numFmtId="164" formatCode="General"/>
    <numFmt numFmtId="165" formatCode="#,##0;\(#,##0\);\-"/>
    <numFmt numFmtId="166" formatCode="0.0%"/>
  </numFmts>
  <fonts count="9">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10"/>
      <color rgb="FF555555"/>
      <name val="Arial"/>
      <family val="0"/>
      <charset val="1"/>
    </font>
    <font>
      <sz val="10"/>
      <name val="Arial"/>
      <family val="0"/>
      <charset val="1"/>
    </font>
    <font>
      <b val="true"/>
      <sz val="10"/>
      <name val="Arial"/>
      <family val="0"/>
      <charset val="1"/>
    </font>
    <font>
      <b val="true"/>
      <sz val="10"/>
      <color rgb="FFFFFFFF"/>
      <name val="Arial"/>
      <family val="0"/>
      <charset val="1"/>
    </font>
  </fonts>
  <fills count="5">
    <fill>
      <patternFill patternType="none"/>
    </fill>
    <fill>
      <patternFill patternType="gray125"/>
    </fill>
    <fill>
      <patternFill patternType="solid">
        <fgColor rgb="FF1F4E5F"/>
        <bgColor rgb="FF333333"/>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5"/>
  </cols>
  <sheetData>
    <row r="1" customFormat="false" ht="17.35" hidden="false" customHeight="false" outlineLevel="0" collapsed="false">
      <c r="A1" s="1" t="s">
        <v>0</v>
      </c>
    </row>
    <row r="2" customFormat="false" ht="45.75" hidden="false" customHeight="tru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78" hidden="false" customHeight="true" outlineLevel="0" collapsed="false">
      <c r="A5" s="3" t="s">
        <v>3</v>
      </c>
    </row>
    <row r="6" customFormat="false" ht="15" hidden="false" customHeight="false" outlineLevel="0" collapsed="false">
      <c r="A6" s="3"/>
    </row>
    <row r="7" customFormat="false" ht="15" hidden="false" customHeight="false" outlineLevel="0" collapsed="false">
      <c r="A7" s="4"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3" customFormat="false" ht="15" hidden="false" customHeight="false" outlineLevel="0" collapsed="false">
      <c r="A13" s="3" t="s">
        <v>10</v>
      </c>
    </row>
    <row r="14" customFormat="false" ht="15" hidden="false" customHeight="false" outlineLevel="0" collapsed="false">
      <c r="A14" s="3" t="s">
        <v>11</v>
      </c>
    </row>
    <row r="15" customFormat="false" ht="15" hidden="false" customHeight="false" outlineLevel="0" collapsed="false">
      <c r="A15" s="3" t="s">
        <v>12</v>
      </c>
    </row>
    <row r="16" customFormat="false" ht="15" hidden="false" customHeight="false" outlineLevel="0" collapsed="false">
      <c r="A16" s="3"/>
    </row>
    <row r="17" customFormat="false" ht="15" hidden="false" customHeight="false" outlineLevel="0" collapsed="false">
      <c r="A17" s="4" t="s">
        <v>13</v>
      </c>
    </row>
    <row r="18" customFormat="false" ht="15" hidden="false" customHeight="false" outlineLevel="0" collapsed="false">
      <c r="A18" s="3" t="s">
        <v>14</v>
      </c>
    </row>
    <row r="19" customFormat="false" ht="15" hidden="false" customHeight="false" outlineLevel="0" collapsed="false">
      <c r="A19" s="3" t="s">
        <v>15</v>
      </c>
    </row>
    <row r="20" customFormat="false" ht="15" hidden="false" customHeight="false" outlineLevel="0" collapsed="false">
      <c r="A20" s="3" t="s">
        <v>16</v>
      </c>
    </row>
    <row r="21" customFormat="false" ht="15" hidden="false" customHeight="false" outlineLevel="0" collapsed="false">
      <c r="A21" s="3"/>
    </row>
    <row r="22" customFormat="false" ht="15" hidden="false" customHeight="false" outlineLevel="0" collapsed="false">
      <c r="A22" s="4" t="s">
        <v>17</v>
      </c>
    </row>
    <row r="23" customFormat="false" ht="15" hidden="false" customHeight="false" outlineLevel="0" collapsed="false">
      <c r="A23" s="3" t="s">
        <v>18</v>
      </c>
    </row>
    <row r="24" customFormat="false" ht="23.85" hidden="false" customHeight="false" outlineLevel="0" collapsed="false">
      <c r="A24" s="3" t="s">
        <v>19</v>
      </c>
    </row>
    <row r="25" customFormat="false" ht="23.85" hidden="false" customHeight="false" outlineLevel="0" collapsed="false">
      <c r="A25" s="3" t="s">
        <v>20</v>
      </c>
    </row>
    <row r="26" customFormat="false" ht="23.85" hidden="false" customHeight="false" outlineLevel="0" collapsed="false">
      <c r="A26" s="3" t="s">
        <v>21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6"/>
    <col collapsed="false" customWidth="true" hidden="false" outlineLevel="0" max="3" min="3" style="0" width="24"/>
    <col collapsed="false" customWidth="true" hidden="false" outlineLevel="0" max="4" min="4" style="0" width="58"/>
    <col collapsed="false" customWidth="true" hidden="false" outlineLevel="0" max="5" min="5" style="0" width="30"/>
    <col collapsed="false" customWidth="true" hidden="false" outlineLevel="0" max="6" min="6" style="0" width="58"/>
    <col collapsed="false" customWidth="true" hidden="false" outlineLevel="0" max="7" min="7" style="0" width="44"/>
    <col collapsed="false" customWidth="true" hidden="false" outlineLevel="0" max="8" min="8" style="0" width="26"/>
    <col collapsed="false" customWidth="true" hidden="false" outlineLevel="0" max="9" min="9" style="0" width="62"/>
    <col collapsed="false" customWidth="true" hidden="false" outlineLevel="0" max="10" min="10" style="0" width="16"/>
  </cols>
  <sheetData>
    <row r="1" customFormat="false" ht="33.75" hidden="false" customHeight="true" outlineLevel="0" collapsed="false">
      <c r="A1" s="5" t="s">
        <v>22</v>
      </c>
      <c r="B1" s="5" t="s">
        <v>23</v>
      </c>
      <c r="C1" s="5" t="s">
        <v>24</v>
      </c>
      <c r="D1" s="5" t="s">
        <v>25</v>
      </c>
      <c r="E1" s="5" t="s">
        <v>26</v>
      </c>
      <c r="F1" s="5" t="s">
        <v>27</v>
      </c>
      <c r="G1" s="5" t="s">
        <v>28</v>
      </c>
      <c r="H1" s="5" t="s">
        <v>29</v>
      </c>
      <c r="I1" s="5" t="s">
        <v>30</v>
      </c>
      <c r="J1" s="5" t="s">
        <v>31</v>
      </c>
    </row>
    <row r="2" customFormat="false" ht="68.65" hidden="false" customHeight="false" outlineLevel="0" collapsed="false">
      <c r="A2" s="6" t="s">
        <v>32</v>
      </c>
      <c r="B2" s="6" t="s">
        <v>33</v>
      </c>
      <c r="C2" s="6" t="s">
        <v>34</v>
      </c>
      <c r="D2" s="6" t="s">
        <v>35</v>
      </c>
      <c r="E2" s="6" t="s">
        <v>36</v>
      </c>
      <c r="F2" s="6" t="s">
        <v>37</v>
      </c>
      <c r="G2" s="6" t="s">
        <v>38</v>
      </c>
      <c r="H2" s="6" t="s">
        <v>39</v>
      </c>
      <c r="I2" s="6" t="s">
        <v>40</v>
      </c>
      <c r="J2" s="6" t="s">
        <v>41</v>
      </c>
    </row>
    <row r="3" customFormat="false" ht="68.65" hidden="false" customHeight="false" outlineLevel="0" collapsed="false">
      <c r="A3" s="6" t="s">
        <v>42</v>
      </c>
      <c r="B3" s="6" t="s">
        <v>43</v>
      </c>
      <c r="C3" s="6" t="s">
        <v>44</v>
      </c>
      <c r="D3" s="6" t="s">
        <v>45</v>
      </c>
      <c r="E3" s="6" t="s">
        <v>46</v>
      </c>
      <c r="F3" s="6" t="s">
        <v>47</v>
      </c>
      <c r="G3" s="6" t="s">
        <v>48</v>
      </c>
      <c r="H3" s="6" t="s">
        <v>49</v>
      </c>
      <c r="I3" s="6" t="s">
        <v>50</v>
      </c>
      <c r="J3" s="6" t="s">
        <v>51</v>
      </c>
    </row>
    <row r="4" customFormat="false" ht="68.65" hidden="false" customHeight="false" outlineLevel="0" collapsed="false">
      <c r="A4" s="6" t="s">
        <v>52</v>
      </c>
      <c r="B4" s="6" t="s">
        <v>53</v>
      </c>
      <c r="C4" s="6" t="s">
        <v>54</v>
      </c>
      <c r="D4" s="6" t="s">
        <v>55</v>
      </c>
      <c r="E4" s="6" t="s">
        <v>56</v>
      </c>
      <c r="F4" s="6" t="s">
        <v>57</v>
      </c>
      <c r="G4" s="6" t="s">
        <v>58</v>
      </c>
      <c r="H4" s="6" t="s">
        <v>59</v>
      </c>
      <c r="I4" s="6" t="s">
        <v>60</v>
      </c>
      <c r="J4" s="6" t="s">
        <v>61</v>
      </c>
    </row>
    <row r="5" customFormat="false" ht="46.25" hidden="false" customHeight="false" outlineLevel="0" collapsed="false">
      <c r="A5" s="6" t="s">
        <v>62</v>
      </c>
      <c r="B5" s="6" t="s">
        <v>63</v>
      </c>
      <c r="C5" s="6" t="s">
        <v>64</v>
      </c>
      <c r="D5" s="6" t="s">
        <v>65</v>
      </c>
      <c r="E5" s="6" t="s">
        <v>66</v>
      </c>
      <c r="F5" s="6" t="s">
        <v>67</v>
      </c>
      <c r="G5" s="6" t="s">
        <v>68</v>
      </c>
      <c r="H5" s="6" t="s">
        <v>69</v>
      </c>
      <c r="I5" s="6" t="s">
        <v>70</v>
      </c>
      <c r="J5" s="6" t="s">
        <v>71</v>
      </c>
    </row>
    <row r="6" customFormat="false" ht="46.25" hidden="false" customHeight="false" outlineLevel="0" collapsed="false">
      <c r="A6" s="6" t="s">
        <v>72</v>
      </c>
      <c r="B6" s="6" t="s">
        <v>73</v>
      </c>
      <c r="C6" s="6" t="s">
        <v>74</v>
      </c>
      <c r="D6" s="6" t="s">
        <v>75</v>
      </c>
      <c r="E6" s="6" t="s">
        <v>76</v>
      </c>
      <c r="F6" s="6" t="s">
        <v>77</v>
      </c>
      <c r="G6" s="6" t="s">
        <v>78</v>
      </c>
      <c r="H6" s="6" t="s">
        <v>79</v>
      </c>
      <c r="I6" s="6" t="s">
        <v>80</v>
      </c>
      <c r="J6" s="6" t="s">
        <v>81</v>
      </c>
    </row>
    <row r="7" customFormat="false" ht="57.45" hidden="false" customHeight="false" outlineLevel="0" collapsed="false">
      <c r="A7" s="6" t="s">
        <v>82</v>
      </c>
      <c r="B7" s="6" t="s">
        <v>83</v>
      </c>
      <c r="C7" s="6" t="s">
        <v>84</v>
      </c>
      <c r="D7" s="6" t="s">
        <v>85</v>
      </c>
      <c r="E7" s="6" t="s">
        <v>86</v>
      </c>
      <c r="F7" s="6" t="s">
        <v>87</v>
      </c>
      <c r="G7" s="6" t="s">
        <v>88</v>
      </c>
      <c r="H7" s="6" t="s">
        <v>89</v>
      </c>
      <c r="I7" s="6" t="s">
        <v>90</v>
      </c>
      <c r="J7" s="6" t="s">
        <v>91</v>
      </c>
    </row>
    <row r="8" customFormat="false" ht="46.25" hidden="false" customHeight="false" outlineLevel="0" collapsed="false">
      <c r="A8" s="6" t="s">
        <v>92</v>
      </c>
      <c r="B8" s="6" t="s">
        <v>93</v>
      </c>
      <c r="C8" s="6" t="s">
        <v>94</v>
      </c>
      <c r="D8" s="6" t="s">
        <v>95</v>
      </c>
      <c r="E8" s="6" t="s">
        <v>96</v>
      </c>
      <c r="F8" s="6" t="s">
        <v>97</v>
      </c>
      <c r="G8" s="6" t="s">
        <v>98</v>
      </c>
      <c r="H8" s="6" t="s">
        <v>99</v>
      </c>
      <c r="I8" s="6" t="s">
        <v>100</v>
      </c>
      <c r="J8" s="6" t="s">
        <v>101</v>
      </c>
    </row>
    <row r="9" customFormat="false" ht="46.25" hidden="false" customHeight="false" outlineLevel="0" collapsed="false">
      <c r="A9" s="6" t="s">
        <v>102</v>
      </c>
      <c r="B9" s="6" t="s">
        <v>103</v>
      </c>
      <c r="C9" s="6" t="s">
        <v>104</v>
      </c>
      <c r="D9" s="6" t="s">
        <v>105</v>
      </c>
      <c r="E9" s="6" t="s">
        <v>106</v>
      </c>
      <c r="F9" s="6" t="s">
        <v>107</v>
      </c>
      <c r="G9" s="6" t="s">
        <v>108</v>
      </c>
      <c r="H9" s="6" t="s">
        <v>109</v>
      </c>
      <c r="I9" s="6" t="s">
        <v>110</v>
      </c>
      <c r="J9" s="6" t="s">
        <v>111</v>
      </c>
    </row>
    <row r="10" customFormat="false" ht="23.85" hidden="false" customHeight="false" outlineLevel="0" collapsed="false">
      <c r="A10" s="6" t="s">
        <v>112</v>
      </c>
      <c r="B10" s="6" t="s">
        <v>113</v>
      </c>
      <c r="C10" s="6" t="s">
        <v>114</v>
      </c>
      <c r="D10" s="6" t="s">
        <v>115</v>
      </c>
      <c r="E10" s="6" t="s">
        <v>116</v>
      </c>
      <c r="F10" s="6" t="s">
        <v>117</v>
      </c>
      <c r="G10" s="6" t="s">
        <v>118</v>
      </c>
      <c r="H10" s="6" t="s">
        <v>119</v>
      </c>
      <c r="I10" s="6" t="s">
        <v>120</v>
      </c>
      <c r="J10" s="6" t="s">
        <v>101</v>
      </c>
    </row>
    <row r="11" customFormat="false" ht="15" hidden="false" customHeight="false" outlineLevel="0" collapsed="false">
      <c r="A11" s="6" t="s">
        <v>121</v>
      </c>
      <c r="B11" s="6" t="s">
        <v>122</v>
      </c>
      <c r="C11" s="6" t="s">
        <v>122</v>
      </c>
      <c r="D11" s="6" t="s">
        <v>123</v>
      </c>
      <c r="E11" s="6" t="s">
        <v>122</v>
      </c>
      <c r="F11" s="6" t="s">
        <v>124</v>
      </c>
      <c r="G11" s="6"/>
      <c r="H11" s="6" t="s">
        <v>122</v>
      </c>
      <c r="I11" s="6" t="s">
        <v>125</v>
      </c>
      <c r="J11" s="6"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28"/>
    <col collapsed="false" customWidth="true" hidden="false" outlineLevel="0" max="4" min="4" style="0" width="54"/>
    <col collapsed="false" customWidth="true" hidden="false" outlineLevel="0" max="5" min="5" style="0" width="26"/>
    <col collapsed="false" customWidth="true" hidden="false" outlineLevel="0" max="6" min="6" style="0" width="62"/>
    <col collapsed="false" customWidth="true" hidden="false" outlineLevel="0" max="8" min="7" style="0" width="26"/>
    <col collapsed="false" customWidth="true" hidden="false" outlineLevel="0" max="9" min="9" style="0" width="66"/>
  </cols>
  <sheetData>
    <row r="1" customFormat="false" ht="33.75" hidden="false" customHeight="true" outlineLevel="0" collapsed="false">
      <c r="A1" s="5" t="s">
        <v>22</v>
      </c>
      <c r="B1" s="5" t="s">
        <v>126</v>
      </c>
      <c r="C1" s="5" t="s">
        <v>127</v>
      </c>
      <c r="D1" s="5" t="s">
        <v>128</v>
      </c>
      <c r="E1" s="5" t="s">
        <v>26</v>
      </c>
      <c r="F1" s="5" t="s">
        <v>129</v>
      </c>
      <c r="G1" s="5" t="s">
        <v>29</v>
      </c>
      <c r="H1" s="5" t="s">
        <v>130</v>
      </c>
      <c r="I1" s="5" t="s">
        <v>131</v>
      </c>
    </row>
    <row r="2" customFormat="false" ht="35.05" hidden="false" customHeight="false" outlineLevel="0" collapsed="false">
      <c r="A2" s="6" t="s">
        <v>132</v>
      </c>
      <c r="B2" s="6" t="s">
        <v>133</v>
      </c>
      <c r="C2" s="6" t="s">
        <v>134</v>
      </c>
      <c r="D2" s="6" t="s">
        <v>135</v>
      </c>
      <c r="E2" s="7" t="s">
        <v>136</v>
      </c>
      <c r="F2" s="6" t="s">
        <v>137</v>
      </c>
      <c r="G2" s="6" t="s">
        <v>138</v>
      </c>
      <c r="H2" s="6" t="s">
        <v>139</v>
      </c>
      <c r="I2" s="6" t="s">
        <v>140</v>
      </c>
    </row>
    <row r="3" customFormat="false" ht="35.05" hidden="false" customHeight="false" outlineLevel="0" collapsed="false">
      <c r="A3" s="6" t="s">
        <v>141</v>
      </c>
      <c r="B3" s="6" t="s">
        <v>133</v>
      </c>
      <c r="C3" s="6" t="s">
        <v>142</v>
      </c>
      <c r="D3" s="6" t="s">
        <v>143</v>
      </c>
      <c r="E3" s="8" t="s">
        <v>144</v>
      </c>
      <c r="F3" s="6" t="s">
        <v>145</v>
      </c>
      <c r="G3" s="6" t="s">
        <v>146</v>
      </c>
      <c r="H3" s="6" t="s">
        <v>147</v>
      </c>
      <c r="I3" s="6" t="s">
        <v>148</v>
      </c>
    </row>
    <row r="4" customFormat="false" ht="46.25" hidden="false" customHeight="false" outlineLevel="0" collapsed="false">
      <c r="A4" s="6" t="s">
        <v>149</v>
      </c>
      <c r="B4" s="6" t="s">
        <v>150</v>
      </c>
      <c r="C4" s="6" t="s">
        <v>151</v>
      </c>
      <c r="D4" s="6" t="s">
        <v>152</v>
      </c>
      <c r="E4" s="8" t="s">
        <v>144</v>
      </c>
      <c r="F4" s="6" t="s">
        <v>153</v>
      </c>
      <c r="G4" s="6" t="s">
        <v>154</v>
      </c>
      <c r="H4" s="6" t="s">
        <v>155</v>
      </c>
      <c r="I4" s="6" t="s">
        <v>156</v>
      </c>
    </row>
    <row r="5" customFormat="false" ht="46.25" hidden="false" customHeight="false" outlineLevel="0" collapsed="false">
      <c r="A5" s="6" t="s">
        <v>157</v>
      </c>
      <c r="B5" s="6" t="s">
        <v>158</v>
      </c>
      <c r="C5" s="6" t="s">
        <v>159</v>
      </c>
      <c r="D5" s="6" t="s">
        <v>160</v>
      </c>
      <c r="E5" s="8" t="s">
        <v>161</v>
      </c>
      <c r="F5" s="6" t="s">
        <v>162</v>
      </c>
      <c r="G5" s="6" t="s">
        <v>163</v>
      </c>
      <c r="H5" s="6" t="s">
        <v>155</v>
      </c>
      <c r="I5" s="6" t="s">
        <v>164</v>
      </c>
    </row>
    <row r="6" customFormat="false" ht="57.45" hidden="false" customHeight="false" outlineLevel="0" collapsed="false">
      <c r="A6" s="6" t="s">
        <v>165</v>
      </c>
      <c r="B6" s="6" t="s">
        <v>166</v>
      </c>
      <c r="C6" s="6" t="s">
        <v>167</v>
      </c>
      <c r="D6" s="6" t="s">
        <v>168</v>
      </c>
      <c r="E6" s="8" t="s">
        <v>169</v>
      </c>
      <c r="F6" s="6" t="s">
        <v>170</v>
      </c>
      <c r="G6" s="6" t="s">
        <v>171</v>
      </c>
      <c r="H6" s="6" t="s">
        <v>172</v>
      </c>
      <c r="I6" s="6" t="s">
        <v>173</v>
      </c>
    </row>
    <row r="7" customFormat="false" ht="46.25" hidden="false" customHeight="false" outlineLevel="0" collapsed="false">
      <c r="A7" s="6" t="s">
        <v>174</v>
      </c>
      <c r="B7" s="6" t="s">
        <v>175</v>
      </c>
      <c r="C7" s="6" t="s">
        <v>176</v>
      </c>
      <c r="D7" s="6" t="s">
        <v>177</v>
      </c>
      <c r="E7" s="8" t="s">
        <v>178</v>
      </c>
      <c r="F7" s="6" t="s">
        <v>179</v>
      </c>
      <c r="G7" s="6" t="s">
        <v>180</v>
      </c>
      <c r="H7" s="6" t="s">
        <v>181</v>
      </c>
      <c r="I7" s="6" t="s">
        <v>182</v>
      </c>
    </row>
    <row r="8" customFormat="false" ht="35.05" hidden="false" customHeight="false" outlineLevel="0" collapsed="false">
      <c r="A8" s="6" t="s">
        <v>183</v>
      </c>
      <c r="B8" s="6" t="s">
        <v>184</v>
      </c>
      <c r="C8" s="6" t="s">
        <v>185</v>
      </c>
      <c r="D8" s="6" t="s">
        <v>186</v>
      </c>
      <c r="E8" s="7" t="s">
        <v>187</v>
      </c>
      <c r="F8" s="6" t="s">
        <v>188</v>
      </c>
      <c r="G8" s="6" t="s">
        <v>189</v>
      </c>
      <c r="H8" s="6" t="s">
        <v>190</v>
      </c>
      <c r="I8" s="6" t="s">
        <v>191</v>
      </c>
    </row>
    <row r="9" customFormat="false" ht="46.25" hidden="false" customHeight="false" outlineLevel="0" collapsed="false">
      <c r="A9" s="6" t="s">
        <v>192</v>
      </c>
      <c r="B9" s="6" t="s">
        <v>193</v>
      </c>
      <c r="C9" s="6" t="s">
        <v>194</v>
      </c>
      <c r="D9" s="6" t="s">
        <v>195</v>
      </c>
      <c r="E9" s="7" t="s">
        <v>196</v>
      </c>
      <c r="F9" s="6" t="s">
        <v>197</v>
      </c>
      <c r="G9" s="6" t="s">
        <v>198</v>
      </c>
      <c r="H9" s="6" t="s">
        <v>199</v>
      </c>
      <c r="I9" s="6" t="s">
        <v>200</v>
      </c>
    </row>
    <row r="10" customFormat="false" ht="46.25" hidden="false" customHeight="false" outlineLevel="0" collapsed="false">
      <c r="A10" s="6" t="s">
        <v>201</v>
      </c>
      <c r="B10" s="6" t="s">
        <v>202</v>
      </c>
      <c r="C10" s="6" t="s">
        <v>203</v>
      </c>
      <c r="D10" s="6" t="s">
        <v>204</v>
      </c>
      <c r="E10" s="7" t="s">
        <v>205</v>
      </c>
      <c r="F10" s="6" t="s">
        <v>206</v>
      </c>
      <c r="G10" s="6" t="s">
        <v>207</v>
      </c>
      <c r="H10" s="6" t="s">
        <v>190</v>
      </c>
      <c r="I10" s="6" t="s">
        <v>208</v>
      </c>
    </row>
    <row r="11" customFormat="false" ht="23.85" hidden="false" customHeight="false" outlineLevel="0" collapsed="false">
      <c r="A11" s="6" t="s">
        <v>209</v>
      </c>
      <c r="B11" s="6" t="s">
        <v>210</v>
      </c>
      <c r="C11" s="6" t="s">
        <v>211</v>
      </c>
      <c r="D11" s="6" t="s">
        <v>212</v>
      </c>
      <c r="E11" s="8" t="s">
        <v>178</v>
      </c>
      <c r="F11" s="6" t="s">
        <v>213</v>
      </c>
      <c r="G11" s="6" t="s">
        <v>214</v>
      </c>
      <c r="H11" s="6" t="s">
        <v>215</v>
      </c>
      <c r="I11" s="6" t="s">
        <v>216</v>
      </c>
    </row>
    <row r="12" customFormat="false" ht="57.45" hidden="false" customHeight="false" outlineLevel="0" collapsed="false">
      <c r="A12" s="6" t="s">
        <v>217</v>
      </c>
      <c r="B12" s="6" t="s">
        <v>218</v>
      </c>
      <c r="C12" s="6" t="s">
        <v>219</v>
      </c>
      <c r="D12" s="6" t="s">
        <v>220</v>
      </c>
      <c r="E12" s="7" t="s">
        <v>221</v>
      </c>
      <c r="F12" s="6" t="s">
        <v>222</v>
      </c>
      <c r="G12" s="6" t="s">
        <v>223</v>
      </c>
      <c r="H12" s="6" t="s">
        <v>190</v>
      </c>
      <c r="I12" s="6" t="s">
        <v>224</v>
      </c>
    </row>
    <row r="13" customFormat="false" ht="46.25" hidden="false" customHeight="false" outlineLevel="0" collapsed="false">
      <c r="A13" s="6" t="s">
        <v>225</v>
      </c>
      <c r="B13" s="6" t="s">
        <v>226</v>
      </c>
      <c r="C13" s="6" t="s">
        <v>227</v>
      </c>
      <c r="D13" s="6" t="s">
        <v>228</v>
      </c>
      <c r="E13" s="6" t="s">
        <v>229</v>
      </c>
      <c r="F13" s="6" t="s">
        <v>230</v>
      </c>
      <c r="G13" s="6" t="s">
        <v>231</v>
      </c>
      <c r="H13" s="6" t="s">
        <v>190</v>
      </c>
      <c r="I13" s="6" t="s">
        <v>232</v>
      </c>
    </row>
    <row r="14" customFormat="false" ht="35.05" hidden="false" customHeight="false" outlineLevel="0" collapsed="false">
      <c r="A14" s="6" t="s">
        <v>233</v>
      </c>
      <c r="B14" s="6" t="s">
        <v>234</v>
      </c>
      <c r="C14" s="6" t="s">
        <v>235</v>
      </c>
      <c r="D14" s="6" t="s">
        <v>236</v>
      </c>
      <c r="E14" s="7" t="s">
        <v>237</v>
      </c>
      <c r="F14" s="6" t="s">
        <v>238</v>
      </c>
      <c r="G14" s="6" t="s">
        <v>239</v>
      </c>
      <c r="H14" s="6" t="s">
        <v>199</v>
      </c>
      <c r="I14" s="6" t="s">
        <v>240</v>
      </c>
    </row>
    <row r="15" customFormat="false" ht="57.45" hidden="false" customHeight="false" outlineLevel="0" collapsed="false">
      <c r="A15" s="6" t="s">
        <v>241</v>
      </c>
      <c r="B15" s="6" t="s">
        <v>242</v>
      </c>
      <c r="C15" s="6" t="s">
        <v>159</v>
      </c>
      <c r="D15" s="6" t="s">
        <v>243</v>
      </c>
      <c r="E15" s="6" t="s">
        <v>244</v>
      </c>
      <c r="F15" s="6" t="s">
        <v>245</v>
      </c>
      <c r="G15" s="6" t="s">
        <v>246</v>
      </c>
      <c r="H15" s="6"/>
      <c r="I15" s="6" t="s">
        <v>247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24"/>
    <col collapsed="false" customWidth="true" hidden="false" outlineLevel="0" max="4" min="4" style="0" width="26"/>
    <col collapsed="false" customWidth="true" hidden="false" outlineLevel="0" max="5" min="5" style="0" width="58"/>
    <col collapsed="false" customWidth="true" hidden="false" outlineLevel="0" max="6" min="6" style="0" width="30"/>
    <col collapsed="false" customWidth="true" hidden="false" outlineLevel="0" max="7" min="7" style="0" width="40"/>
    <col collapsed="false" customWidth="true" hidden="false" outlineLevel="0" max="8" min="8" style="0" width="24"/>
    <col collapsed="false" customWidth="true" hidden="false" outlineLevel="0" max="9" min="9" style="0" width="86"/>
  </cols>
  <sheetData>
    <row r="1" customFormat="false" ht="33.75" hidden="false" customHeight="true" outlineLevel="0" collapsed="false">
      <c r="A1" s="5" t="s">
        <v>248</v>
      </c>
      <c r="B1" s="5" t="s">
        <v>249</v>
      </c>
      <c r="C1" s="5" t="s">
        <v>250</v>
      </c>
      <c r="D1" s="5" t="s">
        <v>127</v>
      </c>
      <c r="E1" s="5" t="s">
        <v>251</v>
      </c>
      <c r="F1" s="5" t="s">
        <v>130</v>
      </c>
      <c r="G1" s="5" t="s">
        <v>252</v>
      </c>
      <c r="H1" s="5" t="s">
        <v>26</v>
      </c>
      <c r="I1" s="5" t="s">
        <v>253</v>
      </c>
    </row>
    <row r="2" customFormat="false" ht="79.85" hidden="false" customHeight="false" outlineLevel="0" collapsed="false">
      <c r="A2" s="6" t="s">
        <v>254</v>
      </c>
      <c r="B2" s="6" t="s">
        <v>255</v>
      </c>
      <c r="C2" s="6" t="s">
        <v>256</v>
      </c>
      <c r="D2" s="6" t="s">
        <v>219</v>
      </c>
      <c r="E2" s="6" t="s">
        <v>257</v>
      </c>
      <c r="F2" s="6" t="s">
        <v>258</v>
      </c>
      <c r="G2" s="6" t="s">
        <v>259</v>
      </c>
      <c r="H2" s="6" t="s">
        <v>260</v>
      </c>
      <c r="I2" s="6" t="s">
        <v>261</v>
      </c>
    </row>
    <row r="3" customFormat="false" ht="79.85" hidden="false" customHeight="false" outlineLevel="0" collapsed="false">
      <c r="A3" s="6" t="s">
        <v>262</v>
      </c>
      <c r="B3" s="6" t="s">
        <v>263</v>
      </c>
      <c r="C3" s="6" t="s">
        <v>264</v>
      </c>
      <c r="D3" s="6" t="s">
        <v>265</v>
      </c>
      <c r="E3" s="6" t="s">
        <v>266</v>
      </c>
      <c r="F3" s="6" t="s">
        <v>267</v>
      </c>
      <c r="G3" s="6" t="s">
        <v>268</v>
      </c>
      <c r="H3" s="7" t="s">
        <v>269</v>
      </c>
      <c r="I3" s="6" t="s">
        <v>270</v>
      </c>
    </row>
    <row r="4" customFormat="false" ht="68.65" hidden="false" customHeight="false" outlineLevel="0" collapsed="false">
      <c r="A4" s="6" t="s">
        <v>271</v>
      </c>
      <c r="B4" s="6" t="s">
        <v>255</v>
      </c>
      <c r="C4" s="6" t="s">
        <v>272</v>
      </c>
      <c r="D4" s="6" t="s">
        <v>273</v>
      </c>
      <c r="E4" s="6" t="s">
        <v>274</v>
      </c>
      <c r="F4" s="6" t="s">
        <v>275</v>
      </c>
      <c r="G4" s="6" t="s">
        <v>276</v>
      </c>
      <c r="H4" s="7" t="s">
        <v>269</v>
      </c>
      <c r="I4" s="6" t="s">
        <v>277</v>
      </c>
    </row>
    <row r="5" customFormat="false" ht="46.25" hidden="false" customHeight="false" outlineLevel="0" collapsed="false">
      <c r="A5" s="6" t="s">
        <v>278</v>
      </c>
      <c r="B5" s="6" t="s">
        <v>263</v>
      </c>
      <c r="C5" s="6" t="s">
        <v>279</v>
      </c>
      <c r="D5" s="6" t="s">
        <v>280</v>
      </c>
      <c r="E5" s="6" t="s">
        <v>281</v>
      </c>
      <c r="F5" s="6" t="s">
        <v>282</v>
      </c>
      <c r="G5" s="6" t="s">
        <v>283</v>
      </c>
      <c r="H5" s="8" t="s">
        <v>178</v>
      </c>
      <c r="I5" s="6" t="s">
        <v>284</v>
      </c>
    </row>
    <row r="6" customFormat="false" ht="46.25" hidden="false" customHeight="false" outlineLevel="0" collapsed="false">
      <c r="A6" s="6" t="s">
        <v>285</v>
      </c>
      <c r="B6" s="6" t="s">
        <v>286</v>
      </c>
      <c r="C6" s="6" t="s">
        <v>287</v>
      </c>
      <c r="D6" s="6" t="s">
        <v>219</v>
      </c>
      <c r="E6" s="6" t="s">
        <v>288</v>
      </c>
      <c r="F6" s="6" t="s">
        <v>269</v>
      </c>
      <c r="G6" s="6" t="s">
        <v>289</v>
      </c>
      <c r="H6" s="7" t="s">
        <v>269</v>
      </c>
      <c r="I6" s="6" t="s">
        <v>290</v>
      </c>
    </row>
    <row r="7" customFormat="false" ht="35.05" hidden="false" customHeight="false" outlineLevel="0" collapsed="false">
      <c r="A7" s="6" t="s">
        <v>291</v>
      </c>
      <c r="B7" s="6" t="s">
        <v>292</v>
      </c>
      <c r="C7" s="6" t="s">
        <v>293</v>
      </c>
      <c r="D7" s="6" t="s">
        <v>294</v>
      </c>
      <c r="E7" s="6" t="s">
        <v>295</v>
      </c>
      <c r="F7" s="6" t="s">
        <v>275</v>
      </c>
      <c r="G7" s="6" t="s">
        <v>296</v>
      </c>
      <c r="H7" s="7" t="s">
        <v>269</v>
      </c>
      <c r="I7" s="6" t="s">
        <v>297</v>
      </c>
    </row>
    <row r="8" customFormat="false" ht="35.05" hidden="false" customHeight="false" outlineLevel="0" collapsed="false">
      <c r="A8" s="6" t="s">
        <v>298</v>
      </c>
      <c r="B8" s="6" t="s">
        <v>299</v>
      </c>
      <c r="C8" s="6" t="s">
        <v>300</v>
      </c>
      <c r="D8" s="6" t="s">
        <v>294</v>
      </c>
      <c r="E8" s="6" t="s">
        <v>301</v>
      </c>
      <c r="F8" s="6" t="s">
        <v>275</v>
      </c>
      <c r="G8" s="6" t="s">
        <v>302</v>
      </c>
      <c r="H8" s="7" t="s">
        <v>269</v>
      </c>
      <c r="I8" s="6" t="s">
        <v>303</v>
      </c>
    </row>
    <row r="9" customFormat="false" ht="46.25" hidden="false" customHeight="false" outlineLevel="0" collapsed="false">
      <c r="A9" s="6" t="s">
        <v>304</v>
      </c>
      <c r="B9" s="6" t="s">
        <v>263</v>
      </c>
      <c r="C9" s="6" t="s">
        <v>305</v>
      </c>
      <c r="D9" s="6" t="s">
        <v>294</v>
      </c>
      <c r="E9" s="6" t="s">
        <v>306</v>
      </c>
      <c r="F9" s="6" t="s">
        <v>307</v>
      </c>
      <c r="G9" s="6" t="s">
        <v>308</v>
      </c>
      <c r="H9" s="7" t="s">
        <v>269</v>
      </c>
      <c r="I9" s="6" t="s">
        <v>309</v>
      </c>
    </row>
    <row r="10" customFormat="false" ht="46.25" hidden="false" customHeight="false" outlineLevel="0" collapsed="false">
      <c r="A10" s="6" t="s">
        <v>310</v>
      </c>
      <c r="B10" s="6" t="s">
        <v>255</v>
      </c>
      <c r="C10" s="6" t="s">
        <v>311</v>
      </c>
      <c r="D10" s="6" t="s">
        <v>294</v>
      </c>
      <c r="E10" s="6" t="s">
        <v>312</v>
      </c>
      <c r="F10" s="6" t="s">
        <v>275</v>
      </c>
      <c r="G10" s="6" t="s">
        <v>313</v>
      </c>
      <c r="H10" s="7" t="s">
        <v>269</v>
      </c>
      <c r="I10" s="6" t="s">
        <v>314</v>
      </c>
    </row>
    <row r="11" customFormat="false" ht="46.25" hidden="false" customHeight="false" outlineLevel="0" collapsed="false">
      <c r="A11" s="6" t="s">
        <v>315</v>
      </c>
      <c r="B11" s="6" t="s">
        <v>316</v>
      </c>
      <c r="C11" s="6" t="s">
        <v>317</v>
      </c>
      <c r="D11" s="6" t="s">
        <v>318</v>
      </c>
      <c r="E11" s="6" t="s">
        <v>319</v>
      </c>
      <c r="F11" s="6" t="s">
        <v>320</v>
      </c>
      <c r="G11" s="6" t="s">
        <v>321</v>
      </c>
      <c r="H11" s="8" t="s">
        <v>178</v>
      </c>
      <c r="I11" s="6" t="s">
        <v>322</v>
      </c>
    </row>
    <row r="12" customFormat="false" ht="23.85" hidden="false" customHeight="false" outlineLevel="0" collapsed="false">
      <c r="A12" s="6" t="s">
        <v>323</v>
      </c>
      <c r="B12" s="6" t="s">
        <v>324</v>
      </c>
      <c r="C12" s="6" t="s">
        <v>325</v>
      </c>
      <c r="D12" s="6" t="s">
        <v>326</v>
      </c>
      <c r="E12" s="6" t="s">
        <v>327</v>
      </c>
      <c r="F12" s="6" t="s">
        <v>328</v>
      </c>
      <c r="G12" s="6" t="s">
        <v>122</v>
      </c>
      <c r="H12" s="6" t="s">
        <v>329</v>
      </c>
      <c r="I12" s="6" t="s">
        <v>330</v>
      </c>
    </row>
    <row r="13" customFormat="false" ht="23.85" hidden="false" customHeight="false" outlineLevel="0" collapsed="false">
      <c r="A13" s="6" t="s">
        <v>331</v>
      </c>
      <c r="B13" s="6" t="s">
        <v>255</v>
      </c>
      <c r="C13" s="6" t="s">
        <v>332</v>
      </c>
      <c r="D13" s="6" t="s">
        <v>294</v>
      </c>
      <c r="E13" s="6" t="s">
        <v>333</v>
      </c>
      <c r="F13" s="6" t="s">
        <v>334</v>
      </c>
      <c r="G13" s="6" t="s">
        <v>122</v>
      </c>
      <c r="H13" s="7" t="s">
        <v>269</v>
      </c>
      <c r="I13" s="6" t="s">
        <v>335</v>
      </c>
    </row>
    <row r="14" customFormat="false" ht="102.2" hidden="false" customHeight="false" outlineLevel="0" collapsed="false">
      <c r="A14" s="6" t="s">
        <v>336</v>
      </c>
      <c r="B14" s="6" t="s">
        <v>255</v>
      </c>
      <c r="C14" s="6" t="s">
        <v>337</v>
      </c>
      <c r="D14" s="6" t="s">
        <v>294</v>
      </c>
      <c r="E14" s="6" t="s">
        <v>338</v>
      </c>
      <c r="F14" s="6" t="s">
        <v>334</v>
      </c>
      <c r="G14" s="6" t="s">
        <v>122</v>
      </c>
      <c r="H14" s="7" t="s">
        <v>269</v>
      </c>
      <c r="I14" s="6" t="s">
        <v>339</v>
      </c>
    </row>
    <row r="15" customFormat="false" ht="68.65" hidden="false" customHeight="false" outlineLevel="0" collapsed="false">
      <c r="A15" s="6" t="s">
        <v>340</v>
      </c>
      <c r="B15" s="6" t="s">
        <v>263</v>
      </c>
      <c r="C15" s="6" t="s">
        <v>341</v>
      </c>
      <c r="D15" s="6" t="s">
        <v>280</v>
      </c>
      <c r="E15" s="6" t="s">
        <v>342</v>
      </c>
      <c r="F15" s="6" t="s">
        <v>269</v>
      </c>
      <c r="G15" s="6" t="s">
        <v>122</v>
      </c>
      <c r="H15" s="7" t="s">
        <v>269</v>
      </c>
      <c r="I15" s="6" t="s">
        <v>343</v>
      </c>
    </row>
    <row r="16" customFormat="false" ht="35.05" hidden="false" customHeight="false" outlineLevel="0" collapsed="false">
      <c r="A16" s="6" t="s">
        <v>344</v>
      </c>
      <c r="B16" s="6" t="s">
        <v>345</v>
      </c>
      <c r="C16" s="6" t="s">
        <v>346</v>
      </c>
      <c r="D16" s="6" t="s">
        <v>294</v>
      </c>
      <c r="E16" s="6" t="s">
        <v>347</v>
      </c>
      <c r="F16" s="6" t="s">
        <v>348</v>
      </c>
      <c r="G16" s="6" t="s">
        <v>349</v>
      </c>
      <c r="H16" s="6" t="s">
        <v>350</v>
      </c>
      <c r="I16" s="6" t="s">
        <v>351</v>
      </c>
    </row>
    <row r="17" customFormat="false" ht="35.05" hidden="false" customHeight="false" outlineLevel="0" collapsed="false">
      <c r="A17" s="6" t="s">
        <v>352</v>
      </c>
      <c r="B17" s="6" t="s">
        <v>353</v>
      </c>
      <c r="C17" s="6" t="s">
        <v>300</v>
      </c>
      <c r="D17" s="6" t="s">
        <v>294</v>
      </c>
      <c r="E17" s="6" t="s">
        <v>354</v>
      </c>
      <c r="F17" s="6" t="s">
        <v>122</v>
      </c>
      <c r="G17" s="6" t="s">
        <v>355</v>
      </c>
      <c r="H17" s="7" t="s">
        <v>269</v>
      </c>
      <c r="I17" s="6" t="s">
        <v>356</v>
      </c>
    </row>
    <row r="18" customFormat="false" ht="23.85" hidden="false" customHeight="false" outlineLevel="0" collapsed="false">
      <c r="A18" s="6" t="s">
        <v>357</v>
      </c>
      <c r="B18" s="6" t="s">
        <v>286</v>
      </c>
      <c r="C18" s="6" t="s">
        <v>358</v>
      </c>
      <c r="D18" s="6" t="s">
        <v>359</v>
      </c>
      <c r="E18" s="6" t="s">
        <v>360</v>
      </c>
      <c r="F18" s="6" t="s">
        <v>361</v>
      </c>
      <c r="G18" s="6" t="s">
        <v>122</v>
      </c>
      <c r="H18" s="7" t="s">
        <v>362</v>
      </c>
      <c r="I18" s="6" t="s">
        <v>363</v>
      </c>
    </row>
    <row r="19" customFormat="false" ht="35.05" hidden="false" customHeight="false" outlineLevel="0" collapsed="false">
      <c r="A19" s="6" t="s">
        <v>364</v>
      </c>
      <c r="B19" s="6" t="s">
        <v>365</v>
      </c>
      <c r="C19" s="6" t="s">
        <v>366</v>
      </c>
      <c r="D19" s="6" t="s">
        <v>294</v>
      </c>
      <c r="E19" s="6" t="s">
        <v>367</v>
      </c>
      <c r="F19" s="6" t="s">
        <v>269</v>
      </c>
      <c r="G19" s="6" t="s">
        <v>122</v>
      </c>
      <c r="H19" s="7" t="s">
        <v>269</v>
      </c>
      <c r="I19" s="6"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34"/>
    <col collapsed="false" customWidth="true" hidden="false" outlineLevel="0" max="3" min="3" style="0" width="16"/>
    <col collapsed="false" customWidth="true" hidden="false" outlineLevel="0" max="4" min="4" style="0" width="86"/>
    <col collapsed="false" customWidth="true" hidden="false" outlineLevel="0" max="5" min="5" style="0" width="34"/>
    <col collapsed="false" customWidth="true" hidden="false" outlineLevel="0" max="6" min="6" style="0" width="62"/>
    <col collapsed="false" customWidth="true" hidden="false" outlineLevel="0" max="7" min="7" style="0" width="80"/>
  </cols>
  <sheetData>
    <row r="1" customFormat="false" ht="33.75" hidden="false" customHeight="true" outlineLevel="0" collapsed="false">
      <c r="A1" s="5" t="s">
        <v>369</v>
      </c>
      <c r="B1" s="5" t="s">
        <v>370</v>
      </c>
      <c r="C1" s="5" t="s">
        <v>371</v>
      </c>
      <c r="D1" s="5" t="s">
        <v>372</v>
      </c>
      <c r="E1" s="5" t="s">
        <v>373</v>
      </c>
      <c r="F1" s="5" t="s">
        <v>374</v>
      </c>
      <c r="G1" s="5" t="s">
        <v>131</v>
      </c>
    </row>
    <row r="2" customFormat="false" ht="57.45" hidden="false" customHeight="false" outlineLevel="0" collapsed="false">
      <c r="A2" s="6" t="s">
        <v>375</v>
      </c>
      <c r="B2" s="6" t="s">
        <v>376</v>
      </c>
      <c r="C2" s="6" t="s">
        <v>377</v>
      </c>
      <c r="D2" s="6" t="s">
        <v>378</v>
      </c>
      <c r="E2" s="6" t="s">
        <v>379</v>
      </c>
      <c r="F2" s="6" t="s">
        <v>380</v>
      </c>
      <c r="G2" s="6" t="s">
        <v>381</v>
      </c>
    </row>
    <row r="3" customFormat="false" ht="35.05" hidden="false" customHeight="false" outlineLevel="0" collapsed="false">
      <c r="A3" s="6" t="s">
        <v>382</v>
      </c>
      <c r="B3" s="6" t="s">
        <v>376</v>
      </c>
      <c r="C3" s="6" t="s">
        <v>377</v>
      </c>
      <c r="D3" s="6" t="s">
        <v>383</v>
      </c>
      <c r="E3" s="6" t="s">
        <v>384</v>
      </c>
      <c r="F3" s="6" t="s">
        <v>385</v>
      </c>
      <c r="G3" s="6" t="s">
        <v>386</v>
      </c>
    </row>
    <row r="4" customFormat="false" ht="23.85" hidden="false" customHeight="false" outlineLevel="0" collapsed="false">
      <c r="A4" s="6" t="s">
        <v>387</v>
      </c>
      <c r="B4" s="6" t="s">
        <v>376</v>
      </c>
      <c r="C4" s="6" t="s">
        <v>377</v>
      </c>
      <c r="D4" s="6" t="s">
        <v>388</v>
      </c>
      <c r="E4" s="6" t="s">
        <v>389</v>
      </c>
      <c r="F4" s="6" t="s">
        <v>390</v>
      </c>
      <c r="G4" s="6" t="s">
        <v>391</v>
      </c>
    </row>
    <row r="5" customFormat="false" ht="113.4" hidden="false" customHeight="false" outlineLevel="0" collapsed="false">
      <c r="A5" s="6" t="s">
        <v>392</v>
      </c>
      <c r="B5" s="6" t="s">
        <v>393</v>
      </c>
      <c r="C5" s="6" t="s">
        <v>377</v>
      </c>
      <c r="D5" s="6" t="s">
        <v>394</v>
      </c>
      <c r="E5" s="6" t="s">
        <v>389</v>
      </c>
      <c r="F5" s="6" t="s">
        <v>395</v>
      </c>
      <c r="G5" s="6" t="s">
        <v>396</v>
      </c>
    </row>
    <row r="6" customFormat="false" ht="68.65" hidden="false" customHeight="false" outlineLevel="0" collapsed="false">
      <c r="A6" s="6" t="s">
        <v>397</v>
      </c>
      <c r="B6" s="6" t="s">
        <v>398</v>
      </c>
      <c r="C6" s="6" t="s">
        <v>377</v>
      </c>
      <c r="D6" s="6" t="s">
        <v>399</v>
      </c>
      <c r="E6" s="6" t="s">
        <v>379</v>
      </c>
      <c r="F6" s="6" t="s">
        <v>400</v>
      </c>
      <c r="G6" s="6" t="s">
        <v>401</v>
      </c>
    </row>
    <row r="7" customFormat="false" ht="68.65" hidden="false" customHeight="false" outlineLevel="0" collapsed="false">
      <c r="A7" s="6" t="s">
        <v>402</v>
      </c>
      <c r="B7" s="6" t="s">
        <v>403</v>
      </c>
      <c r="C7" s="6" t="s">
        <v>404</v>
      </c>
      <c r="D7" s="6" t="s">
        <v>405</v>
      </c>
      <c r="E7" s="6" t="s">
        <v>406</v>
      </c>
      <c r="F7" s="6" t="s">
        <v>407</v>
      </c>
      <c r="G7" s="6" t="s">
        <v>408</v>
      </c>
    </row>
    <row r="8" customFormat="false" ht="68.65" hidden="false" customHeight="false" outlineLevel="0" collapsed="false">
      <c r="A8" s="6" t="s">
        <v>409</v>
      </c>
      <c r="B8" s="6" t="s">
        <v>410</v>
      </c>
      <c r="C8" s="6" t="s">
        <v>377</v>
      </c>
      <c r="D8" s="6" t="s">
        <v>411</v>
      </c>
      <c r="E8" s="6" t="s">
        <v>412</v>
      </c>
      <c r="F8" s="6" t="s">
        <v>413</v>
      </c>
      <c r="G8" s="6" t="s">
        <v>414</v>
      </c>
    </row>
    <row r="9" customFormat="false" ht="46.25" hidden="false" customHeight="false" outlineLevel="0" collapsed="false">
      <c r="A9" s="6" t="s">
        <v>415</v>
      </c>
      <c r="B9" s="6" t="s">
        <v>416</v>
      </c>
      <c r="C9" s="6" t="s">
        <v>377</v>
      </c>
      <c r="D9" s="6" t="s">
        <v>417</v>
      </c>
      <c r="E9" s="6" t="s">
        <v>418</v>
      </c>
      <c r="F9" s="6" t="s">
        <v>419</v>
      </c>
      <c r="G9" s="6" t="s">
        <v>420</v>
      </c>
    </row>
    <row r="10" customFormat="false" ht="46.25" hidden="false" customHeight="false" outlineLevel="0" collapsed="false">
      <c r="A10" s="6" t="s">
        <v>421</v>
      </c>
      <c r="B10" s="6" t="s">
        <v>422</v>
      </c>
      <c r="C10" s="6" t="s">
        <v>377</v>
      </c>
      <c r="D10" s="6" t="s">
        <v>423</v>
      </c>
      <c r="E10" s="6" t="s">
        <v>424</v>
      </c>
      <c r="F10" s="6" t="s">
        <v>425</v>
      </c>
      <c r="G10" s="6" t="s">
        <v>426</v>
      </c>
    </row>
    <row r="11" customFormat="false" ht="35.05" hidden="false" customHeight="false" outlineLevel="0" collapsed="false">
      <c r="A11" s="6" t="s">
        <v>427</v>
      </c>
      <c r="B11" s="6" t="s">
        <v>428</v>
      </c>
      <c r="C11" s="6" t="s">
        <v>377</v>
      </c>
      <c r="D11" s="6" t="s">
        <v>429</v>
      </c>
      <c r="E11" s="6" t="s">
        <v>430</v>
      </c>
      <c r="F11" s="6" t="s">
        <v>431</v>
      </c>
      <c r="G11" s="6" t="s">
        <v>432</v>
      </c>
    </row>
    <row r="12" customFormat="false" ht="46.25" hidden="false" customHeight="false" outlineLevel="0" collapsed="false">
      <c r="A12" s="6" t="s">
        <v>433</v>
      </c>
      <c r="B12" s="6" t="s">
        <v>269</v>
      </c>
      <c r="C12" s="6" t="s">
        <v>434</v>
      </c>
      <c r="D12" s="6" t="s">
        <v>435</v>
      </c>
      <c r="E12" s="6" t="s">
        <v>436</v>
      </c>
      <c r="F12" s="6" t="s">
        <v>437</v>
      </c>
      <c r="G12" s="6" t="s">
        <v>438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6" min="2" style="0" width="15"/>
    <col collapsed="false" customWidth="true" hidden="false" outlineLevel="0" max="7" min="7" style="0" width="17"/>
    <col collapsed="false" customWidth="true" hidden="false" outlineLevel="0" max="13" min="8" style="0" width="15"/>
    <col collapsed="false" customWidth="true" hidden="false" outlineLevel="0" max="14" min="14" style="0" width="13"/>
    <col collapsed="false" customWidth="true" hidden="false" outlineLevel="0" max="15" min="15" style="0" width="12"/>
    <col collapsed="false" customWidth="true" hidden="false" outlineLevel="0" max="16" min="16" style="0" width="16"/>
  </cols>
  <sheetData>
    <row r="1" customFormat="false" ht="17.35" hidden="false" customHeight="false" outlineLevel="0" collapsed="false">
      <c r="A1" s="9" t="s">
        <v>439</v>
      </c>
    </row>
    <row r="2" customFormat="false" ht="60" hidden="false" customHeight="true" outlineLevel="0" collapsed="false">
      <c r="A2" s="10" t="s">
        <v>440</v>
      </c>
      <c r="B2" s="10"/>
      <c r="C2" s="10"/>
      <c r="D2" s="10"/>
      <c r="E2" s="10"/>
      <c r="F2" s="10"/>
      <c r="G2" s="10"/>
      <c r="H2" s="10"/>
      <c r="I2" s="10"/>
      <c r="J2" s="10"/>
      <c r="K2" s="10"/>
      <c r="L2" s="10"/>
    </row>
    <row r="4" customFormat="false" ht="33.75" hidden="false" customHeight="true" outlineLevel="0" collapsed="false">
      <c r="A4" s="5" t="s">
        <v>441</v>
      </c>
      <c r="B4" s="5" t="s">
        <v>442</v>
      </c>
      <c r="C4" s="5" t="s">
        <v>443</v>
      </c>
      <c r="D4" s="5" t="s">
        <v>444</v>
      </c>
      <c r="E4" s="5" t="s">
        <v>445</v>
      </c>
      <c r="F4" s="5" t="s">
        <v>446</v>
      </c>
      <c r="G4" s="5" t="s">
        <v>447</v>
      </c>
      <c r="H4" s="5" t="s">
        <v>448</v>
      </c>
      <c r="I4" s="5" t="s">
        <v>449</v>
      </c>
      <c r="J4" s="5" t="s">
        <v>450</v>
      </c>
      <c r="K4" s="5" t="s">
        <v>451</v>
      </c>
      <c r="L4" s="5" t="s">
        <v>452</v>
      </c>
      <c r="M4" s="5" t="s">
        <v>453</v>
      </c>
      <c r="N4" s="5" t="s">
        <v>454</v>
      </c>
      <c r="O4" s="5" t="s">
        <v>455</v>
      </c>
      <c r="P4" s="5" t="s">
        <v>456</v>
      </c>
    </row>
    <row r="5" customFormat="false" ht="15" hidden="false" customHeight="false" outlineLevel="0" collapsed="false">
      <c r="A5" s="11" t="s">
        <v>457</v>
      </c>
      <c r="B5" s="12" t="n">
        <v>63195</v>
      </c>
      <c r="C5" s="12" t="n">
        <v>766</v>
      </c>
      <c r="D5" s="12" t="n">
        <v>232968</v>
      </c>
      <c r="E5" s="12" t="n">
        <v>178531</v>
      </c>
      <c r="F5" s="12" t="n">
        <v>143281</v>
      </c>
      <c r="G5" s="12" t="n">
        <f aca="false">SUM(B5:F5)</f>
        <v>618741</v>
      </c>
      <c r="H5" s="12" t="n">
        <v>102690</v>
      </c>
      <c r="I5" s="12" t="n">
        <v>885</v>
      </c>
      <c r="J5" s="12" t="n">
        <v>315829</v>
      </c>
      <c r="K5" s="12" t="n">
        <v>255557</v>
      </c>
      <c r="L5" s="12" t="n">
        <v>208167</v>
      </c>
      <c r="M5" s="12" t="n">
        <f aca="false">SUM(H5:L5)</f>
        <v>883128</v>
      </c>
      <c r="N5" s="13" t="n">
        <f aca="false">IFERROR(D5/$G5,"")</f>
        <v>0.376519416039991</v>
      </c>
      <c r="O5" s="13" t="n">
        <f aca="false">IFERROR(B5/$G5,"")</f>
        <v>0.1021348189307</v>
      </c>
      <c r="P5" s="13" t="n">
        <f aca="false">IFERROR((D5+E5)/$G5,"")</f>
        <v>0.665058562467979</v>
      </c>
    </row>
    <row r="6" customFormat="false" ht="15" hidden="false" customHeight="false" outlineLevel="0" collapsed="false">
      <c r="A6" s="11" t="s">
        <v>458</v>
      </c>
      <c r="B6" s="12" t="n">
        <v>21433</v>
      </c>
      <c r="C6" s="12" t="n">
        <v>1359</v>
      </c>
      <c r="D6" s="12" t="n">
        <v>410499</v>
      </c>
      <c r="E6" s="12" t="n">
        <v>0</v>
      </c>
      <c r="F6" s="12" t="n">
        <v>15715</v>
      </c>
      <c r="G6" s="12" t="n">
        <f aca="false">SUM(B6:F6)</f>
        <v>449006</v>
      </c>
      <c r="H6" s="12" t="n">
        <v>26484</v>
      </c>
      <c r="I6" s="12" t="n">
        <v>1628</v>
      </c>
      <c r="J6" s="12" t="n">
        <v>453183</v>
      </c>
      <c r="K6" s="12" t="n">
        <v>0</v>
      </c>
      <c r="L6" s="12" t="n">
        <v>20230</v>
      </c>
      <c r="M6" s="12" t="n">
        <f aca="false">SUM(H6:L6)</f>
        <v>501525</v>
      </c>
      <c r="N6" s="13" t="n">
        <f aca="false">IFERROR(D6/$G6,"")</f>
        <v>0.914239453370334</v>
      </c>
      <c r="O6" s="13" t="n">
        <f aca="false">IFERROR(B6/$G6,"")</f>
        <v>0.0477343287172109</v>
      </c>
      <c r="P6" s="13" t="n">
        <f aca="false">IFERROR((D6+E6)/$G6,"")</f>
        <v>0.914239453370334</v>
      </c>
    </row>
    <row r="7" customFormat="false" ht="15" hidden="false" customHeight="false" outlineLevel="0" collapsed="false">
      <c r="A7" s="11" t="s">
        <v>459</v>
      </c>
      <c r="B7" s="12" t="n">
        <v>324734</v>
      </c>
      <c r="C7" s="12" t="n">
        <v>10745</v>
      </c>
      <c r="D7" s="12" t="n">
        <v>7728</v>
      </c>
      <c r="E7" s="12" t="n">
        <v>1847</v>
      </c>
      <c r="F7" s="12" t="n">
        <v>77829</v>
      </c>
      <c r="G7" s="12" t="n">
        <f aca="false">SUM(B7:F7)</f>
        <v>422883</v>
      </c>
      <c r="H7" s="12" t="n">
        <v>352423</v>
      </c>
      <c r="I7" s="12" t="n">
        <v>12627</v>
      </c>
      <c r="J7" s="12" t="n">
        <v>8406</v>
      </c>
      <c r="K7" s="12" t="n">
        <v>2001</v>
      </c>
      <c r="L7" s="12" t="n">
        <v>86156</v>
      </c>
      <c r="M7" s="12" t="n">
        <f aca="false">SUM(H7:L7)</f>
        <v>461613</v>
      </c>
      <c r="N7" s="13" t="n">
        <f aca="false">IFERROR(D7/$G7,"")</f>
        <v>0.0182745582111364</v>
      </c>
      <c r="O7" s="13" t="n">
        <f aca="false">IFERROR(B7/$G7,"")</f>
        <v>0.767905070669665</v>
      </c>
      <c r="P7" s="13" t="n">
        <f aca="false">IFERROR((D7+E7)/$G7,"")</f>
        <v>0.0226421965413601</v>
      </c>
    </row>
    <row r="8" customFormat="false" ht="15" hidden="false" customHeight="false" outlineLevel="0" collapsed="false">
      <c r="A8" s="11" t="s">
        <v>460</v>
      </c>
      <c r="B8" s="12" t="n">
        <v>27905</v>
      </c>
      <c r="C8" s="12" t="n">
        <v>904</v>
      </c>
      <c r="D8" s="12" t="n">
        <v>229545</v>
      </c>
      <c r="E8" s="12" t="n">
        <v>3273</v>
      </c>
      <c r="F8" s="12" t="n">
        <v>95504</v>
      </c>
      <c r="G8" s="12" t="n">
        <f aca="false">SUM(B8:F8)</f>
        <v>357131</v>
      </c>
      <c r="H8" s="12" t="n">
        <v>27905</v>
      </c>
      <c r="I8" s="12" t="n">
        <v>904</v>
      </c>
      <c r="J8" s="12" t="n">
        <v>292468</v>
      </c>
      <c r="K8" s="12" t="n">
        <v>3920</v>
      </c>
      <c r="L8" s="12" t="n">
        <v>112179</v>
      </c>
      <c r="M8" s="12" t="n">
        <f aca="false">SUM(H8:L8)</f>
        <v>437376</v>
      </c>
      <c r="N8" s="13" t="n">
        <f aca="false">IFERROR(D8/$G8,"")</f>
        <v>0.642747339211662</v>
      </c>
      <c r="O8" s="13" t="n">
        <f aca="false">IFERROR(B8/$G8,"")</f>
        <v>0.0781365941349253</v>
      </c>
      <c r="P8" s="13" t="n">
        <f aca="false">IFERROR((D8+E8)/$G8,"")</f>
        <v>0.651912043479844</v>
      </c>
    </row>
    <row r="9" customFormat="false" ht="15" hidden="false" customHeight="false" outlineLevel="0" collapsed="false">
      <c r="A9" s="11" t="s">
        <v>461</v>
      </c>
      <c r="B9" s="12" t="n">
        <v>0</v>
      </c>
      <c r="C9" s="12" t="n">
        <v>929</v>
      </c>
      <c r="D9" s="12" t="n">
        <v>329865</v>
      </c>
      <c r="E9" s="12" t="n">
        <v>653</v>
      </c>
      <c r="F9" s="12" t="n">
        <v>0</v>
      </c>
      <c r="G9" s="12" t="n">
        <f aca="false">SUM(B9:F9)</f>
        <v>331447</v>
      </c>
      <c r="H9" s="12" t="n">
        <v>0</v>
      </c>
      <c r="I9" s="12" t="n">
        <v>1009</v>
      </c>
      <c r="J9" s="12" t="n">
        <v>331486</v>
      </c>
      <c r="K9" s="12" t="n">
        <v>653</v>
      </c>
      <c r="L9" s="12" t="n">
        <v>1009</v>
      </c>
      <c r="M9" s="12" t="n">
        <f aca="false">SUM(H9:L9)</f>
        <v>334157</v>
      </c>
      <c r="N9" s="13" t="n">
        <f aca="false">IFERROR(D9/$G9,"")</f>
        <v>0.995226989533772</v>
      </c>
      <c r="O9" s="13" t="n">
        <f aca="false">IFERROR(B9/$G9,"")</f>
        <v>0</v>
      </c>
      <c r="P9" s="13" t="n">
        <f aca="false">IFERROR((D9+E9)/$G9,"")</f>
        <v>0.997197138607379</v>
      </c>
    </row>
    <row r="10" customFormat="false" ht="15" hidden="false" customHeight="false" outlineLevel="0" collapsed="false">
      <c r="A10" s="11" t="s">
        <v>462</v>
      </c>
      <c r="B10" s="12" t="n">
        <v>110608</v>
      </c>
      <c r="C10" s="12" t="n">
        <v>3944</v>
      </c>
      <c r="D10" s="12" t="n">
        <v>16981</v>
      </c>
      <c r="E10" s="12" t="n">
        <v>11785</v>
      </c>
      <c r="F10" s="12" t="n">
        <v>70602</v>
      </c>
      <c r="G10" s="12" t="n">
        <f aca="false">SUM(B10:F10)</f>
        <v>213920</v>
      </c>
      <c r="H10" s="12" t="n">
        <v>128227</v>
      </c>
      <c r="I10" s="12" t="n">
        <v>3982</v>
      </c>
      <c r="J10" s="12" t="n">
        <v>19264</v>
      </c>
      <c r="K10" s="12" t="n">
        <v>12986</v>
      </c>
      <c r="L10" s="12" t="n">
        <v>74742</v>
      </c>
      <c r="M10" s="12" t="n">
        <f aca="false">SUM(H10:L10)</f>
        <v>239201</v>
      </c>
      <c r="N10" s="13" t="n">
        <f aca="false">IFERROR(D10/$G10,"")</f>
        <v>0.0793801421091997</v>
      </c>
      <c r="O10" s="13" t="n">
        <f aca="false">IFERROR(B10/$G10,"")</f>
        <v>0.517053103964099</v>
      </c>
      <c r="P10" s="13" t="n">
        <f aca="false">IFERROR((D10+E10)/$G10,"")</f>
        <v>0.134470830216904</v>
      </c>
    </row>
    <row r="11" customFormat="false" ht="15" hidden="false" customHeight="false" outlineLevel="0" collapsed="false">
      <c r="A11" s="11" t="s">
        <v>463</v>
      </c>
      <c r="B11" s="12" t="n">
        <v>1844</v>
      </c>
      <c r="C11" s="12" t="n">
        <v>2444</v>
      </c>
      <c r="D11" s="12" t="n">
        <v>182445</v>
      </c>
      <c r="E11" s="12" t="n">
        <v>0</v>
      </c>
      <c r="F11" s="12" t="n">
        <v>16308</v>
      </c>
      <c r="G11" s="12" t="n">
        <f aca="false">SUM(B11:F11)</f>
        <v>203041</v>
      </c>
      <c r="H11" s="12" t="n">
        <v>2178</v>
      </c>
      <c r="I11" s="12" t="n">
        <v>3016</v>
      </c>
      <c r="J11" s="12" t="n">
        <v>211029</v>
      </c>
      <c r="K11" s="12" t="n">
        <v>0</v>
      </c>
      <c r="L11" s="12" t="n">
        <v>21436</v>
      </c>
      <c r="M11" s="12" t="n">
        <f aca="false">SUM(H11:L11)</f>
        <v>237659</v>
      </c>
      <c r="N11" s="13" t="n">
        <f aca="false">IFERROR(D11/$G11,"")</f>
        <v>0.898562359326442</v>
      </c>
      <c r="O11" s="13" t="n">
        <f aca="false">IFERROR(B11/$G11,"")</f>
        <v>0.00908190956506321</v>
      </c>
      <c r="P11" s="13" t="n">
        <f aca="false">IFERROR((D11+E11)/$G11,"")</f>
        <v>0.898562359326442</v>
      </c>
    </row>
    <row r="12" customFormat="false" ht="15" hidden="false" customHeight="false" outlineLevel="0" collapsed="false">
      <c r="A12" s="11" t="s">
        <v>464</v>
      </c>
      <c r="B12" s="12" t="n">
        <v>91396</v>
      </c>
      <c r="C12" s="12" t="n">
        <v>11209</v>
      </c>
      <c r="D12" s="12" t="n">
        <v>47476</v>
      </c>
      <c r="E12" s="12" t="n">
        <v>38623</v>
      </c>
      <c r="F12" s="12" t="n">
        <v>6234</v>
      </c>
      <c r="G12" s="12" t="n">
        <f aca="false">SUM(B12:F12)</f>
        <v>194938</v>
      </c>
      <c r="H12" s="12" t="n">
        <v>96463</v>
      </c>
      <c r="I12" s="12" t="n">
        <v>12802</v>
      </c>
      <c r="J12" s="12" t="n">
        <v>52447</v>
      </c>
      <c r="K12" s="12" t="n">
        <v>43200</v>
      </c>
      <c r="L12" s="12" t="n">
        <v>7473</v>
      </c>
      <c r="M12" s="12" t="n">
        <f aca="false">SUM(H12:L12)</f>
        <v>212385</v>
      </c>
      <c r="N12" s="13" t="n">
        <f aca="false">IFERROR(D12/$G12,"")</f>
        <v>0.243544101201408</v>
      </c>
      <c r="O12" s="13" t="n">
        <f aca="false">IFERROR(B12/$G12,"")</f>
        <v>0.468846505042629</v>
      </c>
      <c r="P12" s="13" t="n">
        <f aca="false">IFERROR((D12+E12)/$G12,"")</f>
        <v>0.441673762940012</v>
      </c>
    </row>
    <row r="13" customFormat="false" ht="15" hidden="false" customHeight="false" outlineLevel="0" collapsed="false">
      <c r="A13" s="11" t="s">
        <v>465</v>
      </c>
      <c r="B13" s="12" t="n">
        <v>53570</v>
      </c>
      <c r="C13" s="12" t="n">
        <v>2709</v>
      </c>
      <c r="D13" s="12" t="n">
        <v>121359</v>
      </c>
      <c r="E13" s="12" t="n">
        <v>0</v>
      </c>
      <c r="F13" s="12" t="n">
        <v>5876</v>
      </c>
      <c r="G13" s="12" t="n">
        <f aca="false">SUM(B13:F13)</f>
        <v>183514</v>
      </c>
      <c r="H13" s="12" t="n">
        <v>86792</v>
      </c>
      <c r="I13" s="12" t="n">
        <v>2709</v>
      </c>
      <c r="J13" s="12" t="n">
        <v>139419</v>
      </c>
      <c r="K13" s="12" t="n">
        <v>0</v>
      </c>
      <c r="L13" s="12" t="n">
        <v>8176</v>
      </c>
      <c r="M13" s="12" t="n">
        <f aca="false">SUM(H13:L13)</f>
        <v>237096</v>
      </c>
      <c r="N13" s="13" t="n">
        <f aca="false">IFERROR(D13/$G13,"")</f>
        <v>0.661306494327408</v>
      </c>
      <c r="O13" s="13" t="n">
        <f aca="false">IFERROR(B13/$G13,"")</f>
        <v>0.291912333663917</v>
      </c>
      <c r="P13" s="13" t="n">
        <f aca="false">IFERROR((D13+E13)/$G13,"")</f>
        <v>0.661306494327408</v>
      </c>
    </row>
    <row r="14" customFormat="false" ht="15" hidden="false" customHeight="false" outlineLevel="0" collapsed="false">
      <c r="A14" s="11" t="s">
        <v>466</v>
      </c>
      <c r="B14" s="12" t="n">
        <v>49094</v>
      </c>
      <c r="C14" s="12" t="n">
        <v>1974</v>
      </c>
      <c r="D14" s="12" t="n">
        <v>116433</v>
      </c>
      <c r="E14" s="12" t="n">
        <v>0</v>
      </c>
      <c r="F14" s="12" t="n">
        <v>10396</v>
      </c>
      <c r="G14" s="12" t="n">
        <f aca="false">SUM(B14:F14)</f>
        <v>177897</v>
      </c>
      <c r="H14" s="12" t="n">
        <v>80133</v>
      </c>
      <c r="I14" s="12" t="n">
        <v>2343</v>
      </c>
      <c r="J14" s="12" t="n">
        <v>148902</v>
      </c>
      <c r="K14" s="12" t="n">
        <v>0</v>
      </c>
      <c r="L14" s="12" t="n">
        <v>27791</v>
      </c>
      <c r="M14" s="12" t="n">
        <f aca="false">SUM(H14:L14)</f>
        <v>259169</v>
      </c>
      <c r="N14" s="13" t="n">
        <f aca="false">IFERROR(D14/$G14,"")</f>
        <v>0.654496703148451</v>
      </c>
      <c r="O14" s="13" t="n">
        <f aca="false">IFERROR(B14/$G14,"")</f>
        <v>0.275968678504978</v>
      </c>
      <c r="P14" s="13" t="n">
        <f aca="false">IFERROR((D14+E14)/$G14,"")</f>
        <v>0.654496703148451</v>
      </c>
    </row>
    <row r="15" customFormat="false" ht="15" hidden="false" customHeight="false" outlineLevel="0" collapsed="false">
      <c r="A15" s="11" t="s">
        <v>467</v>
      </c>
      <c r="B15" s="12" t="n">
        <v>1059</v>
      </c>
      <c r="C15" s="12" t="n">
        <v>145</v>
      </c>
      <c r="D15" s="12" t="n">
        <v>169727</v>
      </c>
      <c r="E15" s="12" t="n">
        <v>0</v>
      </c>
      <c r="F15" s="12" t="n">
        <v>28</v>
      </c>
      <c r="G15" s="12" t="n">
        <f aca="false">SUM(B15:F15)</f>
        <v>170959</v>
      </c>
      <c r="H15" s="12" t="n">
        <v>1059</v>
      </c>
      <c r="I15" s="12" t="n">
        <v>145</v>
      </c>
      <c r="J15" s="12" t="n">
        <v>235539</v>
      </c>
      <c r="K15" s="12" t="n">
        <v>0</v>
      </c>
      <c r="L15" s="12" t="n">
        <v>28</v>
      </c>
      <c r="M15" s="12" t="n">
        <f aca="false">SUM(H15:L15)</f>
        <v>236771</v>
      </c>
      <c r="N15" s="13" t="n">
        <f aca="false">IFERROR(D15/$G15,"")</f>
        <v>0.992793593785645</v>
      </c>
      <c r="O15" s="13" t="n">
        <f aca="false">IFERROR(B15/$G15,"")</f>
        <v>0.00619446767938512</v>
      </c>
      <c r="P15" s="13" t="n">
        <f aca="false">IFERROR((D15+E15)/$G15,"")</f>
        <v>0.992793593785645</v>
      </c>
    </row>
    <row r="16" customFormat="false" ht="15" hidden="false" customHeight="false" outlineLevel="0" collapsed="false">
      <c r="A16" s="11" t="s">
        <v>468</v>
      </c>
      <c r="B16" s="12" t="n">
        <v>0</v>
      </c>
      <c r="C16" s="12" t="n">
        <v>0</v>
      </c>
      <c r="D16" s="12" t="n">
        <v>104505</v>
      </c>
      <c r="E16" s="12" t="n">
        <v>51332</v>
      </c>
      <c r="F16" s="12" t="n">
        <v>12761</v>
      </c>
      <c r="G16" s="12" t="n">
        <f aca="false">SUM(B16:F16)</f>
        <v>168598</v>
      </c>
      <c r="H16" s="12" t="n">
        <v>0</v>
      </c>
      <c r="I16" s="12" t="n">
        <v>0</v>
      </c>
      <c r="J16" s="12" t="n">
        <v>105868</v>
      </c>
      <c r="K16" s="12" t="n">
        <v>52670</v>
      </c>
      <c r="L16" s="12" t="n">
        <v>13031</v>
      </c>
      <c r="M16" s="12" t="n">
        <f aca="false">SUM(H16:L16)</f>
        <v>171569</v>
      </c>
      <c r="N16" s="13" t="n">
        <f aca="false">IFERROR(D16/$G16,"")</f>
        <v>0.619847210524443</v>
      </c>
      <c r="O16" s="13" t="n">
        <f aca="false">IFERROR(B16/$G16,"")</f>
        <v>0</v>
      </c>
      <c r="P16" s="13" t="n">
        <f aca="false">IFERROR((D16+E16)/$G16,"")</f>
        <v>0.924311083168246</v>
      </c>
    </row>
    <row r="17" customFormat="false" ht="15" hidden="false" customHeight="false" outlineLevel="0" collapsed="false">
      <c r="A17" s="11" t="s">
        <v>469</v>
      </c>
      <c r="B17" s="12" t="n">
        <v>37531</v>
      </c>
      <c r="C17" s="12" t="n">
        <v>29703</v>
      </c>
      <c r="D17" s="12" t="n">
        <v>87593</v>
      </c>
      <c r="E17" s="12" t="n">
        <v>8420</v>
      </c>
      <c r="F17" s="12" t="n">
        <v>5212</v>
      </c>
      <c r="G17" s="12" t="n">
        <f aca="false">SUM(B17:F17)</f>
        <v>168459</v>
      </c>
      <c r="H17" s="12" t="n">
        <v>45488</v>
      </c>
      <c r="I17" s="12" t="n">
        <v>34881</v>
      </c>
      <c r="J17" s="12" t="n">
        <v>126340</v>
      </c>
      <c r="K17" s="12" t="n">
        <v>9750</v>
      </c>
      <c r="L17" s="12" t="n">
        <v>5721</v>
      </c>
      <c r="M17" s="12" t="n">
        <f aca="false">SUM(H17:L17)</f>
        <v>222180</v>
      </c>
      <c r="N17" s="13" t="n">
        <f aca="false">IFERROR(D17/$G17,"")</f>
        <v>0.519966282596952</v>
      </c>
      <c r="O17" s="13" t="n">
        <f aca="false">IFERROR(B17/$G17,"")</f>
        <v>0.222790115102191</v>
      </c>
      <c r="P17" s="13" t="n">
        <f aca="false">IFERROR((D17+E17)/$G17,"")</f>
        <v>0.569948770917553</v>
      </c>
    </row>
    <row r="18" customFormat="false" ht="15" hidden="false" customHeight="false" outlineLevel="0" collapsed="false">
      <c r="A18" s="11" t="s">
        <v>470</v>
      </c>
      <c r="B18" s="12" t="n">
        <v>94427</v>
      </c>
      <c r="C18" s="12" t="n">
        <v>570</v>
      </c>
      <c r="D18" s="12" t="n">
        <v>33676</v>
      </c>
      <c r="E18" s="12" t="n">
        <v>391</v>
      </c>
      <c r="F18" s="12" t="n">
        <v>39044</v>
      </c>
      <c r="G18" s="12" t="n">
        <f aca="false">SUM(B18:F18)</f>
        <v>168108</v>
      </c>
      <c r="H18" s="12" t="n">
        <v>137288</v>
      </c>
      <c r="I18" s="12" t="n">
        <v>574</v>
      </c>
      <c r="J18" s="12" t="n">
        <v>52854</v>
      </c>
      <c r="K18" s="12" t="n">
        <v>676</v>
      </c>
      <c r="L18" s="12" t="n">
        <v>77379</v>
      </c>
      <c r="M18" s="12" t="n">
        <f aca="false">SUM(H18:L18)</f>
        <v>268771</v>
      </c>
      <c r="N18" s="13" t="n">
        <f aca="false">IFERROR(D18/$G18,"")</f>
        <v>0.200323601494278</v>
      </c>
      <c r="O18" s="13" t="n">
        <f aca="false">IFERROR(B18/$G18,"")</f>
        <v>0.561704380517287</v>
      </c>
      <c r="P18" s="13" t="n">
        <f aca="false">IFERROR((D18+E18)/$G18,"")</f>
        <v>0.202649487234397</v>
      </c>
    </row>
    <row r="19" customFormat="false" ht="15" hidden="false" customHeight="false" outlineLevel="0" collapsed="false">
      <c r="A19" s="11" t="s">
        <v>471</v>
      </c>
      <c r="B19" s="12" t="n">
        <v>70555</v>
      </c>
      <c r="C19" s="12" t="n">
        <v>6469</v>
      </c>
      <c r="D19" s="12" t="n">
        <v>88843</v>
      </c>
      <c r="E19" s="12" t="n">
        <v>0</v>
      </c>
      <c r="F19" s="12" t="n">
        <v>566</v>
      </c>
      <c r="G19" s="12" t="n">
        <f aca="false">SUM(B19:F19)</f>
        <v>166433</v>
      </c>
      <c r="H19" s="12" t="n">
        <v>79708</v>
      </c>
      <c r="I19" s="12" t="n">
        <v>7278</v>
      </c>
      <c r="J19" s="12" t="n">
        <v>121730</v>
      </c>
      <c r="K19" s="12" t="n">
        <v>0</v>
      </c>
      <c r="L19" s="12" t="n">
        <v>570</v>
      </c>
      <c r="M19" s="12" t="n">
        <f aca="false">SUM(H19:L19)</f>
        <v>209286</v>
      </c>
      <c r="N19" s="13" t="n">
        <f aca="false">IFERROR(D19/$G19,"")</f>
        <v>0.533806396567988</v>
      </c>
      <c r="O19" s="13" t="n">
        <f aca="false">IFERROR(B19/$G19,"")</f>
        <v>0.423924341927382</v>
      </c>
      <c r="P19" s="13" t="n">
        <f aca="false">IFERROR((D19+E19)/$G19,"")</f>
        <v>0.533806396567988</v>
      </c>
    </row>
    <row r="20" customFormat="false" ht="15" hidden="false" customHeight="false" outlineLevel="0" collapsed="false">
      <c r="A20" s="11" t="s">
        <v>472</v>
      </c>
      <c r="B20" s="12" t="n">
        <v>3737</v>
      </c>
      <c r="C20" s="12" t="n">
        <v>12450</v>
      </c>
      <c r="D20" s="12" t="n">
        <v>22427</v>
      </c>
      <c r="E20" s="12" t="n">
        <v>1371</v>
      </c>
      <c r="F20" s="12" t="n">
        <v>89712</v>
      </c>
      <c r="G20" s="12" t="n">
        <f aca="false">SUM(B20:F20)</f>
        <v>129697</v>
      </c>
      <c r="H20" s="12" t="n">
        <v>3737</v>
      </c>
      <c r="I20" s="12" t="n">
        <v>12769</v>
      </c>
      <c r="J20" s="12" t="n">
        <v>22441</v>
      </c>
      <c r="K20" s="12" t="n">
        <v>1438</v>
      </c>
      <c r="L20" s="12" t="n">
        <v>98668</v>
      </c>
      <c r="M20" s="12" t="n">
        <f aca="false">SUM(H20:L20)</f>
        <v>139053</v>
      </c>
      <c r="N20" s="13" t="n">
        <f aca="false">IFERROR(D20/$G20,"")</f>
        <v>0.172918417542426</v>
      </c>
      <c r="O20" s="13" t="n">
        <f aca="false">IFERROR(B20/$G20,"")</f>
        <v>0.0288133110249273</v>
      </c>
      <c r="P20" s="13" t="n">
        <f aca="false">IFERROR((D20+E20)/$G20,"")</f>
        <v>0.183489209465138</v>
      </c>
    </row>
    <row r="21" customFormat="false" ht="15" hidden="false" customHeight="false" outlineLevel="0" collapsed="false">
      <c r="A21" s="11" t="s">
        <v>473</v>
      </c>
      <c r="B21" s="12" t="n">
        <v>7155</v>
      </c>
      <c r="C21" s="12" t="n">
        <v>5455</v>
      </c>
      <c r="D21" s="12" t="n">
        <v>89053</v>
      </c>
      <c r="E21" s="12" t="n">
        <v>1829</v>
      </c>
      <c r="F21" s="12" t="n">
        <v>14563</v>
      </c>
      <c r="G21" s="12" t="n">
        <f aca="false">SUM(B21:F21)</f>
        <v>118055</v>
      </c>
      <c r="H21" s="12" t="n">
        <v>7155</v>
      </c>
      <c r="I21" s="12" t="n">
        <v>5455</v>
      </c>
      <c r="J21" s="12" t="n">
        <v>89951</v>
      </c>
      <c r="K21" s="12" t="n">
        <v>1829</v>
      </c>
      <c r="L21" s="12" t="n">
        <v>14563</v>
      </c>
      <c r="M21" s="12" t="n">
        <f aca="false">SUM(H21:L21)</f>
        <v>118953</v>
      </c>
      <c r="N21" s="13" t="n">
        <f aca="false">IFERROR(D21/$G21,"")</f>
        <v>0.754334843928677</v>
      </c>
      <c r="O21" s="13" t="n">
        <f aca="false">IFERROR(B21/$G21,"")</f>
        <v>0.0606073440345602</v>
      </c>
      <c r="P21" s="13" t="n">
        <f aca="false">IFERROR((D21+E21)/$G21,"")</f>
        <v>0.769827622718225</v>
      </c>
    </row>
    <row r="22" customFormat="false" ht="15" hidden="false" customHeight="false" outlineLevel="0" collapsed="false">
      <c r="A22" s="11" t="s">
        <v>474</v>
      </c>
      <c r="B22" s="12" t="n">
        <v>11215</v>
      </c>
      <c r="C22" s="12" t="n">
        <v>1505</v>
      </c>
      <c r="D22" s="12" t="n">
        <v>88647</v>
      </c>
      <c r="E22" s="12" t="n">
        <v>522</v>
      </c>
      <c r="F22" s="12" t="n">
        <v>7424</v>
      </c>
      <c r="G22" s="12" t="n">
        <f aca="false">SUM(B22:F22)</f>
        <v>109313</v>
      </c>
      <c r="H22" s="12" t="n">
        <v>12865</v>
      </c>
      <c r="I22" s="12" t="n">
        <v>2361</v>
      </c>
      <c r="J22" s="12" t="n">
        <v>169877</v>
      </c>
      <c r="K22" s="12" t="n">
        <v>1162</v>
      </c>
      <c r="L22" s="12" t="n">
        <v>8900</v>
      </c>
      <c r="M22" s="12" t="n">
        <f aca="false">SUM(H22:L22)</f>
        <v>195165</v>
      </c>
      <c r="N22" s="13" t="n">
        <f aca="false">IFERROR(D22/$G22,"")</f>
        <v>0.810946547986058</v>
      </c>
      <c r="O22" s="13" t="n">
        <f aca="false">IFERROR(B22/$G22,"")</f>
        <v>0.102595299735622</v>
      </c>
      <c r="P22" s="13" t="n">
        <f aca="false">IFERROR((D22+E22)/$G22,"")</f>
        <v>0.81572182631526</v>
      </c>
    </row>
    <row r="23" customFormat="false" ht="15" hidden="false" customHeight="false" outlineLevel="0" collapsed="false">
      <c r="A23" s="11" t="s">
        <v>475</v>
      </c>
      <c r="B23" s="12" t="n">
        <v>42850</v>
      </c>
      <c r="C23" s="12" t="n">
        <v>5848</v>
      </c>
      <c r="D23" s="12" t="n">
        <v>59120</v>
      </c>
      <c r="E23" s="12" t="n">
        <v>254</v>
      </c>
      <c r="F23" s="12" t="n">
        <v>573</v>
      </c>
      <c r="G23" s="12" t="n">
        <f aca="false">SUM(B23:F23)</f>
        <v>108645</v>
      </c>
      <c r="H23" s="12" t="n">
        <v>42850</v>
      </c>
      <c r="I23" s="12" t="n">
        <v>11309</v>
      </c>
      <c r="J23" s="12" t="n">
        <v>84385</v>
      </c>
      <c r="K23" s="12" t="n">
        <v>254</v>
      </c>
      <c r="L23" s="12" t="n">
        <v>573</v>
      </c>
      <c r="M23" s="12" t="n">
        <f aca="false">SUM(H23:L23)</f>
        <v>139371</v>
      </c>
      <c r="N23" s="13" t="n">
        <f aca="false">IFERROR(D23/$G23,"")</f>
        <v>0.544157577431083</v>
      </c>
      <c r="O23" s="13" t="n">
        <f aca="false">IFERROR(B23/$G23,"")</f>
        <v>0.39440379216715</v>
      </c>
      <c r="P23" s="13" t="n">
        <f aca="false">IFERROR((D23+E23)/$G23,"")</f>
        <v>0.54649546688757</v>
      </c>
    </row>
    <row r="24" customFormat="false" ht="15" hidden="false" customHeight="false" outlineLevel="0" collapsed="false">
      <c r="A24" s="11" t="s">
        <v>476</v>
      </c>
      <c r="B24" s="12" t="n">
        <v>4845</v>
      </c>
      <c r="C24" s="12" t="n">
        <v>252</v>
      </c>
      <c r="D24" s="12" t="n">
        <v>97634</v>
      </c>
      <c r="E24" s="12" t="n">
        <v>3370</v>
      </c>
      <c r="F24" s="12" t="n">
        <v>53</v>
      </c>
      <c r="G24" s="12" t="n">
        <f aca="false">SUM(B24:F24)</f>
        <v>106154</v>
      </c>
      <c r="H24" s="12" t="n">
        <v>6741</v>
      </c>
      <c r="I24" s="12" t="n">
        <v>252</v>
      </c>
      <c r="J24" s="12" t="n">
        <v>113466</v>
      </c>
      <c r="K24" s="12" t="n">
        <v>4395</v>
      </c>
      <c r="L24" s="12" t="n">
        <v>121</v>
      </c>
      <c r="M24" s="12" t="n">
        <f aca="false">SUM(H24:L24)</f>
        <v>124975</v>
      </c>
      <c r="N24" s="13" t="n">
        <f aca="false">IFERROR(D24/$G24,"")</f>
        <v>0.919739246754715</v>
      </c>
      <c r="O24" s="13" t="n">
        <f aca="false">IFERROR(B24/$G24,"")</f>
        <v>0.0456412382011041</v>
      </c>
      <c r="P24" s="13" t="n">
        <f aca="false">IFERROR((D24+E24)/$G24,"")</f>
        <v>0.951485577557134</v>
      </c>
    </row>
    <row r="25" customFormat="false" ht="15" hidden="false" customHeight="false" outlineLevel="0" collapsed="false">
      <c r="A25" s="11" t="s">
        <v>477</v>
      </c>
      <c r="B25" s="12" t="n">
        <v>37270</v>
      </c>
      <c r="C25" s="12" t="n">
        <v>1175</v>
      </c>
      <c r="D25" s="12" t="n">
        <v>29218</v>
      </c>
      <c r="E25" s="12" t="n">
        <v>404</v>
      </c>
      <c r="F25" s="12" t="n">
        <v>7313</v>
      </c>
      <c r="G25" s="12" t="n">
        <f aca="false">SUM(B25:F25)</f>
        <v>75380</v>
      </c>
      <c r="H25" s="12" t="n">
        <v>69427</v>
      </c>
      <c r="I25" s="12" t="n">
        <v>1896</v>
      </c>
      <c r="J25" s="12" t="n">
        <v>57550</v>
      </c>
      <c r="K25" s="12" t="n">
        <v>516</v>
      </c>
      <c r="L25" s="12" t="n">
        <v>12912</v>
      </c>
      <c r="M25" s="12" t="n">
        <f aca="false">SUM(H25:L25)</f>
        <v>142301</v>
      </c>
      <c r="N25" s="13" t="n">
        <f aca="false">IFERROR(D25/$G25,"")</f>
        <v>0.387609445476254</v>
      </c>
      <c r="O25" s="13" t="n">
        <f aca="false">IFERROR(B25/$G25,"")</f>
        <v>0.494428230299814</v>
      </c>
      <c r="P25" s="13" t="n">
        <f aca="false">IFERROR((D25+E25)/$G25,"")</f>
        <v>0.392968957283099</v>
      </c>
    </row>
    <row r="26" customFormat="false" ht="15" hidden="false" customHeight="false" outlineLevel="0" collapsed="false">
      <c r="A26" s="11" t="s">
        <v>478</v>
      </c>
      <c r="B26" s="12" t="n">
        <v>41</v>
      </c>
      <c r="C26" s="12" t="n">
        <v>266</v>
      </c>
      <c r="D26" s="12" t="n">
        <v>23981</v>
      </c>
      <c r="E26" s="12" t="n">
        <v>39993</v>
      </c>
      <c r="F26" s="12" t="n">
        <v>4467</v>
      </c>
      <c r="G26" s="12" t="n">
        <f aca="false">SUM(B26:F26)</f>
        <v>68748</v>
      </c>
      <c r="H26" s="12" t="n">
        <v>41</v>
      </c>
      <c r="I26" s="12" t="n">
        <v>266</v>
      </c>
      <c r="J26" s="12" t="n">
        <v>28459</v>
      </c>
      <c r="K26" s="12" t="n">
        <v>41252</v>
      </c>
      <c r="L26" s="12" t="n">
        <v>5100</v>
      </c>
      <c r="M26" s="12" t="n">
        <f aca="false">SUM(H26:L26)</f>
        <v>75118</v>
      </c>
      <c r="N26" s="13" t="n">
        <f aca="false">IFERROR(D26/$G26,"")</f>
        <v>0.348824693081981</v>
      </c>
      <c r="O26" s="13" t="n">
        <f aca="false">IFERROR(B26/$G26,"")</f>
        <v>0.000596380985628673</v>
      </c>
      <c r="P26" s="13" t="n">
        <f aca="false">IFERROR((D26+E26)/$G26,"")</f>
        <v>0.930557979868505</v>
      </c>
    </row>
    <row r="27" customFormat="false" ht="15" hidden="false" customHeight="false" outlineLevel="0" collapsed="false">
      <c r="A27" s="11" t="s">
        <v>479</v>
      </c>
      <c r="B27" s="12" t="n">
        <v>0</v>
      </c>
      <c r="C27" s="12" t="n">
        <v>317</v>
      </c>
      <c r="D27" s="12" t="n">
        <v>51101</v>
      </c>
      <c r="E27" s="12" t="n">
        <v>15256</v>
      </c>
      <c r="F27" s="12" t="n">
        <v>659</v>
      </c>
      <c r="G27" s="12" t="n">
        <f aca="false">SUM(B27:F27)</f>
        <v>67333</v>
      </c>
      <c r="H27" s="12" t="n">
        <v>0</v>
      </c>
      <c r="I27" s="12" t="n">
        <v>317</v>
      </c>
      <c r="J27" s="12" t="n">
        <v>59926</v>
      </c>
      <c r="K27" s="12" t="n">
        <v>20447</v>
      </c>
      <c r="L27" s="12" t="n">
        <v>766</v>
      </c>
      <c r="M27" s="12" t="n">
        <f aca="false">SUM(H27:L27)</f>
        <v>81456</v>
      </c>
      <c r="N27" s="13" t="n">
        <f aca="false">IFERROR(D27/$G27,"")</f>
        <v>0.758929499650988</v>
      </c>
      <c r="O27" s="13" t="n">
        <f aca="false">IFERROR(B27/$G27,"")</f>
        <v>0</v>
      </c>
      <c r="P27" s="13" t="n">
        <f aca="false">IFERROR((D27+E27)/$G27,"")</f>
        <v>0.985504878737023</v>
      </c>
    </row>
    <row r="28" customFormat="false" ht="15" hidden="false" customHeight="false" outlineLevel="0" collapsed="false">
      <c r="A28" s="11" t="s">
        <v>480</v>
      </c>
      <c r="B28" s="12" t="n">
        <v>0</v>
      </c>
      <c r="C28" s="12" t="n">
        <v>86</v>
      </c>
      <c r="D28" s="12" t="n">
        <v>49548</v>
      </c>
      <c r="E28" s="12" t="n">
        <v>0</v>
      </c>
      <c r="F28" s="12" t="n">
        <v>1837</v>
      </c>
      <c r="G28" s="12" t="n">
        <f aca="false">SUM(B28:F28)</f>
        <v>51471</v>
      </c>
      <c r="H28" s="12" t="n">
        <v>0</v>
      </c>
      <c r="I28" s="12" t="n">
        <v>86</v>
      </c>
      <c r="J28" s="12" t="n">
        <v>78122</v>
      </c>
      <c r="K28" s="12" t="n">
        <v>0</v>
      </c>
      <c r="L28" s="12" t="n">
        <v>2435</v>
      </c>
      <c r="M28" s="12" t="n">
        <f aca="false">SUM(H28:L28)</f>
        <v>80643</v>
      </c>
      <c r="N28" s="13" t="n">
        <f aca="false">IFERROR(D28/$G28,"")</f>
        <v>0.962639156029609</v>
      </c>
      <c r="O28" s="13" t="n">
        <f aca="false">IFERROR(B28/$G28,"")</f>
        <v>0</v>
      </c>
      <c r="P28" s="13" t="n">
        <f aca="false">IFERROR((D28+E28)/$G28,"")</f>
        <v>0.962639156029609</v>
      </c>
    </row>
    <row r="29" customFormat="false" ht="15" hidden="false" customHeight="false" outlineLevel="0" collapsed="false">
      <c r="A29" s="11" t="s">
        <v>481</v>
      </c>
      <c r="B29" s="12" t="n">
        <v>0</v>
      </c>
      <c r="C29" s="12" t="n">
        <v>9</v>
      </c>
      <c r="D29" s="12" t="n">
        <v>48966</v>
      </c>
      <c r="E29" s="12" t="n">
        <v>0</v>
      </c>
      <c r="F29" s="12" t="n">
        <v>41</v>
      </c>
      <c r="G29" s="12" t="n">
        <f aca="false">SUM(B29:F29)</f>
        <v>49016</v>
      </c>
      <c r="H29" s="12" t="n">
        <v>0</v>
      </c>
      <c r="I29" s="12" t="n">
        <v>9</v>
      </c>
      <c r="J29" s="12" t="n">
        <v>70626</v>
      </c>
      <c r="K29" s="12" t="n">
        <v>0</v>
      </c>
      <c r="L29" s="12" t="n">
        <v>43</v>
      </c>
      <c r="M29" s="12" t="n">
        <f aca="false">SUM(H29:L29)</f>
        <v>70678</v>
      </c>
      <c r="N29" s="13" t="n">
        <f aca="false">IFERROR(D29/$G29,"")</f>
        <v>0.998979924922474</v>
      </c>
      <c r="O29" s="13" t="n">
        <f aca="false">IFERROR(B29/$G29,"")</f>
        <v>0</v>
      </c>
      <c r="P29" s="13" t="n">
        <f aca="false">IFERROR((D29+E29)/$G29,"")</f>
        <v>0.998979924922474</v>
      </c>
    </row>
    <row r="30" customFormat="false" ht="15" hidden="false" customHeight="false" outlineLevel="0" collapsed="false">
      <c r="A30" s="11" t="s">
        <v>482</v>
      </c>
      <c r="B30" s="12" t="n">
        <v>0</v>
      </c>
      <c r="C30" s="12" t="n">
        <v>1075</v>
      </c>
      <c r="D30" s="12" t="n">
        <v>2676</v>
      </c>
      <c r="E30" s="12" t="n">
        <v>37818</v>
      </c>
      <c r="F30" s="12" t="n">
        <v>2172</v>
      </c>
      <c r="G30" s="12" t="n">
        <f aca="false">SUM(B30:F30)</f>
        <v>43741</v>
      </c>
      <c r="H30" s="12" t="n">
        <v>0</v>
      </c>
      <c r="I30" s="12" t="n">
        <v>1174</v>
      </c>
      <c r="J30" s="12" t="n">
        <v>2676</v>
      </c>
      <c r="K30" s="12" t="n">
        <v>41078</v>
      </c>
      <c r="L30" s="12" t="n">
        <v>2365</v>
      </c>
      <c r="M30" s="12" t="n">
        <f aca="false">SUM(H30:L30)</f>
        <v>47293</v>
      </c>
      <c r="N30" s="13" t="n">
        <f aca="false">IFERROR(D30/$G30,"")</f>
        <v>0.0611782995359045</v>
      </c>
      <c r="O30" s="13" t="n">
        <f aca="false">IFERROR(B30/$G30,"")</f>
        <v>0</v>
      </c>
      <c r="P30" s="13" t="n">
        <f aca="false">IFERROR((D30+E30)/$G30,"")</f>
        <v>0.925767586474932</v>
      </c>
    </row>
    <row r="31" customFormat="false" ht="15" hidden="false" customHeight="false" outlineLevel="0" collapsed="false">
      <c r="A31" s="11" t="s">
        <v>483</v>
      </c>
      <c r="B31" s="12" t="n">
        <v>2893</v>
      </c>
      <c r="C31" s="12" t="n">
        <v>234</v>
      </c>
      <c r="D31" s="12" t="n">
        <v>33160</v>
      </c>
      <c r="E31" s="12" t="n">
        <v>0</v>
      </c>
      <c r="F31" s="12" t="n">
        <v>1837</v>
      </c>
      <c r="G31" s="12" t="n">
        <f aca="false">SUM(B31:F31)</f>
        <v>38124</v>
      </c>
      <c r="H31" s="12" t="n">
        <v>5562</v>
      </c>
      <c r="I31" s="12" t="n">
        <v>234</v>
      </c>
      <c r="J31" s="12" t="n">
        <v>48230</v>
      </c>
      <c r="K31" s="12" t="n">
        <v>0</v>
      </c>
      <c r="L31" s="12" t="n">
        <v>3155</v>
      </c>
      <c r="M31" s="12" t="n">
        <f aca="false">SUM(H31:L31)</f>
        <v>57181</v>
      </c>
      <c r="N31" s="13" t="n">
        <f aca="false">IFERROR(D31/$G31,"")</f>
        <v>0.869793306053929</v>
      </c>
      <c r="O31" s="13" t="n">
        <f aca="false">IFERROR(B31/$G31,"")</f>
        <v>0.0758839576120029</v>
      </c>
      <c r="P31" s="13" t="n">
        <f aca="false">IFERROR((D31+E31)/$G31,"")</f>
        <v>0.869793306053929</v>
      </c>
    </row>
    <row r="32" customFormat="false" ht="15" hidden="false" customHeight="false" outlineLevel="0" collapsed="false">
      <c r="A32" s="11" t="s">
        <v>484</v>
      </c>
      <c r="B32" s="12" t="n">
        <v>8</v>
      </c>
      <c r="C32" s="12" t="n">
        <v>1310</v>
      </c>
      <c r="D32" s="12" t="n">
        <v>35184</v>
      </c>
      <c r="E32" s="12" t="n">
        <v>0</v>
      </c>
      <c r="F32" s="12" t="n">
        <v>39</v>
      </c>
      <c r="G32" s="12" t="n">
        <f aca="false">SUM(B32:F32)</f>
        <v>36541</v>
      </c>
      <c r="H32" s="12" t="n">
        <v>9</v>
      </c>
      <c r="I32" s="12" t="n">
        <v>1357</v>
      </c>
      <c r="J32" s="12" t="n">
        <v>40248</v>
      </c>
      <c r="K32" s="12" t="n">
        <v>0</v>
      </c>
      <c r="L32" s="12" t="n">
        <v>39</v>
      </c>
      <c r="M32" s="12" t="n">
        <f aca="false">SUM(H32:L32)</f>
        <v>41653</v>
      </c>
      <c r="N32" s="13" t="n">
        <f aca="false">IFERROR(D32/$G32,"")</f>
        <v>0.962863632631838</v>
      </c>
      <c r="O32" s="13" t="n">
        <f aca="false">IFERROR(B32/$G32,"")</f>
        <v>0.000218932158397417</v>
      </c>
      <c r="P32" s="13" t="n">
        <f aca="false">IFERROR((D32+E32)/$G32,"")</f>
        <v>0.962863632631838</v>
      </c>
    </row>
    <row r="33" customFormat="false" ht="15" hidden="false" customHeight="false" outlineLevel="0" collapsed="false">
      <c r="A33" s="11" t="s">
        <v>485</v>
      </c>
      <c r="B33" s="12" t="n">
        <v>0</v>
      </c>
      <c r="C33" s="12" t="n">
        <v>0</v>
      </c>
      <c r="D33" s="12" t="n">
        <v>27809</v>
      </c>
      <c r="E33" s="12" t="n">
        <v>0</v>
      </c>
      <c r="F33" s="12" t="n">
        <v>0</v>
      </c>
      <c r="G33" s="12" t="n">
        <f aca="false">SUM(B33:F33)</f>
        <v>27809</v>
      </c>
      <c r="H33" s="12" t="n">
        <v>0</v>
      </c>
      <c r="I33" s="12" t="n">
        <v>0</v>
      </c>
      <c r="J33" s="12" t="n">
        <v>33086</v>
      </c>
      <c r="K33" s="12" t="n">
        <v>0</v>
      </c>
      <c r="L33" s="12" t="n">
        <v>0</v>
      </c>
      <c r="M33" s="12" t="n">
        <f aca="false">SUM(H33:L33)</f>
        <v>33086</v>
      </c>
      <c r="N33" s="13" t="n">
        <f aca="false">IFERROR(D33/$G33,"")</f>
        <v>1</v>
      </c>
      <c r="O33" s="13" t="n">
        <f aca="false">IFERROR(B33/$G33,"")</f>
        <v>0</v>
      </c>
      <c r="P33" s="13" t="n">
        <f aca="false">IFERROR((D33+E33)/$G33,"")</f>
        <v>1</v>
      </c>
    </row>
    <row r="34" customFormat="false" ht="15" hidden="false" customHeight="false" outlineLevel="0" collapsed="false">
      <c r="A34" s="11" t="s">
        <v>486</v>
      </c>
      <c r="B34" s="12" t="n">
        <v>0</v>
      </c>
      <c r="C34" s="12" t="n">
        <v>0</v>
      </c>
      <c r="D34" s="12" t="n">
        <v>10622</v>
      </c>
      <c r="E34" s="12" t="n">
        <v>0</v>
      </c>
      <c r="F34" s="12" t="n">
        <v>0</v>
      </c>
      <c r="G34" s="12" t="n">
        <f aca="false">SUM(B34:F34)</f>
        <v>10622</v>
      </c>
      <c r="H34" s="12" t="n">
        <v>0</v>
      </c>
      <c r="I34" s="12" t="n">
        <v>0</v>
      </c>
      <c r="J34" s="12" t="n">
        <v>11032</v>
      </c>
      <c r="K34" s="12" t="n">
        <v>0</v>
      </c>
      <c r="L34" s="12" t="n">
        <v>0</v>
      </c>
      <c r="M34" s="12" t="n">
        <f aca="false">SUM(H34:L34)</f>
        <v>11032</v>
      </c>
      <c r="N34" s="13" t="n">
        <f aca="false">IFERROR(D34/$G34,"")</f>
        <v>1</v>
      </c>
      <c r="O34" s="13" t="n">
        <f aca="false">IFERROR(B34/$G34,"")</f>
        <v>0</v>
      </c>
      <c r="P34" s="13" t="n">
        <f aca="false">IFERROR((D34+E34)/$G34,"")</f>
        <v>1</v>
      </c>
    </row>
    <row r="35" customFormat="false" ht="15" hidden="false" customHeight="false" outlineLevel="0" collapsed="false">
      <c r="A35" s="11" t="s">
        <v>487</v>
      </c>
      <c r="B35" s="12" t="n">
        <v>1384</v>
      </c>
      <c r="C35" s="12" t="n">
        <v>0</v>
      </c>
      <c r="D35" s="12" t="n">
        <v>0</v>
      </c>
      <c r="E35" s="12" t="n">
        <v>0</v>
      </c>
      <c r="F35" s="12" t="n">
        <v>422</v>
      </c>
      <c r="G35" s="12" t="n">
        <f aca="false">SUM(B35:F35)</f>
        <v>1806</v>
      </c>
      <c r="H35" s="12" t="n">
        <v>1384</v>
      </c>
      <c r="I35" s="12" t="n">
        <v>0</v>
      </c>
      <c r="J35" s="12" t="n">
        <v>0</v>
      </c>
      <c r="K35" s="12" t="n">
        <v>0</v>
      </c>
      <c r="L35" s="12" t="n">
        <v>422</v>
      </c>
      <c r="M35" s="12" t="n">
        <f aca="false">SUM(H35:L35)</f>
        <v>1806</v>
      </c>
      <c r="N35" s="13" t="n">
        <f aca="false">IFERROR(D35/$G35,"")</f>
        <v>0</v>
      </c>
      <c r="O35" s="13" t="n">
        <f aca="false">IFERROR(B35/$G35,"")</f>
        <v>0.766334440753045</v>
      </c>
      <c r="P35" s="13" t="n">
        <f aca="false">IFERROR((D35+E35)/$G35,"")</f>
        <v>0</v>
      </c>
    </row>
    <row r="36" customFormat="false" ht="15" hidden="false" customHeight="false" outlineLevel="0" collapsed="false">
      <c r="A36" s="14" t="s">
        <v>488</v>
      </c>
      <c r="B36" s="15" t="n">
        <f aca="false">SUM(B5:B35)</f>
        <v>1058749</v>
      </c>
      <c r="C36" s="15" t="n">
        <f aca="false">SUM(C5:C35)</f>
        <v>103852</v>
      </c>
      <c r="D36" s="15" t="n">
        <f aca="false">SUM(D5:D35)</f>
        <v>2848789</v>
      </c>
      <c r="E36" s="15" t="n">
        <f aca="false">SUM(E5:E35)</f>
        <v>395672</v>
      </c>
      <c r="F36" s="15" t="n">
        <f aca="false">SUM(F5:F35)</f>
        <v>630468</v>
      </c>
      <c r="G36" s="15" t="n">
        <f aca="false">SUM(G5:G35)</f>
        <v>5037530</v>
      </c>
      <c r="H36" s="15" t="n">
        <f aca="false">SUM(H5:H35)</f>
        <v>1316609</v>
      </c>
      <c r="I36" s="15" t="n">
        <f aca="false">SUM(I5:I35)</f>
        <v>122268</v>
      </c>
      <c r="J36" s="15" t="n">
        <f aca="false">SUM(J5:J35)</f>
        <v>3524839</v>
      </c>
      <c r="K36" s="15" t="n">
        <f aca="false">SUM(K5:K35)</f>
        <v>493784</v>
      </c>
      <c r="L36" s="15" t="n">
        <f aca="false">SUM(L5:L35)</f>
        <v>814150</v>
      </c>
      <c r="M36" s="15" t="n">
        <f aca="false">SUM(M5:M35)</f>
        <v>6271650</v>
      </c>
      <c r="N36" s="16" t="n">
        <f aca="false">IFERROR(D36/$G36,"")</f>
        <v>0.565513058979301</v>
      </c>
      <c r="O36" s="16" t="n">
        <f aca="false">IFERROR(B36/$G36,"")</f>
        <v>0.210172247113169</v>
      </c>
      <c r="P36" s="16" t="n">
        <f aca="false">IFERROR((D36+E36)/$G36,"")</f>
        <v>0.644057901392151</v>
      </c>
    </row>
    <row r="38" customFormat="false" ht="23.85" hidden="false" customHeight="false" outlineLevel="0" collapsed="false">
      <c r="A38" s="4" t="s">
        <v>489</v>
      </c>
    </row>
    <row r="39" customFormat="false" ht="124.6" hidden="false" customHeight="false" outlineLevel="0" collapsed="false">
      <c r="A39" s="3" t="s">
        <v>490</v>
      </c>
    </row>
    <row r="40" customFormat="false" ht="113.4" hidden="false" customHeight="false" outlineLevel="0" collapsed="false">
      <c r="A40" s="3" t="s">
        <v>491</v>
      </c>
    </row>
    <row r="41" customFormat="false" ht="102.2" hidden="false" customHeight="false" outlineLevel="0" collapsed="false">
      <c r="A41" s="3" t="s">
        <v>492</v>
      </c>
    </row>
    <row r="42" customFormat="false" ht="102.2" hidden="false" customHeight="false" outlineLevel="0" collapsed="false">
      <c r="A42" s="3" t="s">
        <v>493</v>
      </c>
    </row>
    <row r="43" customFormat="false" ht="15" hidden="false" customHeight="false" outlineLevel="0" collapsed="false">
      <c r="A43" s="3"/>
    </row>
    <row r="44" customFormat="false" ht="147" hidden="false" customHeight="false" outlineLevel="0" collapsed="false">
      <c r="A44" s="3" t="s">
        <v>494</v>
      </c>
    </row>
  </sheetData>
  <mergeCells count="1">
    <mergeCell ref="A2:L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6"/>
    <col collapsed="false" customWidth="true" hidden="false" outlineLevel="0" max="3" min="3" style="0" width="104"/>
    <col collapsed="false" customWidth="true" hidden="false" outlineLevel="0" max="4" min="4" style="0" width="20"/>
    <col collapsed="false" customWidth="true" hidden="false" outlineLevel="0" max="6" min="5" style="0" width="44"/>
  </cols>
  <sheetData>
    <row r="1" customFormat="false" ht="33.75" hidden="false" customHeight="true" outlineLevel="0" collapsed="false">
      <c r="A1" s="5" t="s">
        <v>495</v>
      </c>
      <c r="B1" s="5" t="s">
        <v>496</v>
      </c>
      <c r="C1" s="5" t="s">
        <v>497</v>
      </c>
      <c r="D1" s="5" t="s">
        <v>498</v>
      </c>
      <c r="E1" s="5" t="s">
        <v>499</v>
      </c>
      <c r="F1" s="5" t="s">
        <v>500</v>
      </c>
    </row>
    <row r="2" customFormat="false" ht="35.05" hidden="false" customHeight="false" outlineLevel="0" collapsed="false">
      <c r="A2" s="6" t="s">
        <v>501</v>
      </c>
      <c r="B2" s="6" t="s">
        <v>502</v>
      </c>
      <c r="C2" s="6" t="s">
        <v>503</v>
      </c>
      <c r="D2" s="6" t="s">
        <v>504</v>
      </c>
      <c r="E2" s="6" t="s">
        <v>505</v>
      </c>
      <c r="F2" s="6" t="s">
        <v>506</v>
      </c>
    </row>
    <row r="3" customFormat="false" ht="35.05" hidden="false" customHeight="false" outlineLevel="0" collapsed="false">
      <c r="A3" s="6" t="s">
        <v>507</v>
      </c>
      <c r="B3" s="6" t="s">
        <v>508</v>
      </c>
      <c r="C3" s="6" t="s">
        <v>509</v>
      </c>
      <c r="D3" s="6" t="s">
        <v>510</v>
      </c>
      <c r="E3" s="6" t="s">
        <v>505</v>
      </c>
      <c r="F3" s="6" t="s">
        <v>511</v>
      </c>
    </row>
    <row r="4" customFormat="false" ht="35.05" hidden="false" customHeight="false" outlineLevel="0" collapsed="false">
      <c r="A4" s="6" t="s">
        <v>512</v>
      </c>
      <c r="B4" s="6" t="s">
        <v>513</v>
      </c>
      <c r="C4" s="6" t="s">
        <v>514</v>
      </c>
      <c r="D4" s="6" t="s">
        <v>515</v>
      </c>
      <c r="E4" s="6" t="s">
        <v>505</v>
      </c>
      <c r="F4" s="6" t="s">
        <v>516</v>
      </c>
    </row>
    <row r="5" customFormat="false" ht="35.05" hidden="false" customHeight="false" outlineLevel="0" collapsed="false">
      <c r="A5" s="6" t="s">
        <v>111</v>
      </c>
      <c r="B5" s="6" t="s">
        <v>517</v>
      </c>
      <c r="C5" s="6" t="s">
        <v>518</v>
      </c>
      <c r="D5" s="6" t="s">
        <v>519</v>
      </c>
      <c r="E5" s="6" t="s">
        <v>520</v>
      </c>
      <c r="F5" s="6" t="s">
        <v>521</v>
      </c>
    </row>
    <row r="6" customFormat="false" ht="35.05" hidden="false" customHeight="false" outlineLevel="0" collapsed="false">
      <c r="A6" s="6" t="s">
        <v>101</v>
      </c>
      <c r="B6" s="6" t="s">
        <v>522</v>
      </c>
      <c r="C6" s="6" t="s">
        <v>523</v>
      </c>
      <c r="D6" s="6" t="s">
        <v>524</v>
      </c>
      <c r="E6" s="6" t="s">
        <v>525</v>
      </c>
      <c r="F6" s="6" t="s">
        <v>526</v>
      </c>
    </row>
    <row r="7" customFormat="false" ht="35.05" hidden="false" customHeight="false" outlineLevel="0" collapsed="false">
      <c r="A7" s="6" t="s">
        <v>527</v>
      </c>
      <c r="B7" s="6" t="s">
        <v>528</v>
      </c>
      <c r="C7" s="6" t="s">
        <v>529</v>
      </c>
      <c r="D7" s="6" t="s">
        <v>530</v>
      </c>
      <c r="E7" s="6" t="s">
        <v>531</v>
      </c>
      <c r="F7" s="6" t="s">
        <v>532</v>
      </c>
    </row>
    <row r="8" customFormat="false" ht="57.45" hidden="false" customHeight="false" outlineLevel="0" collapsed="false">
      <c r="A8" s="6" t="s">
        <v>533</v>
      </c>
      <c r="B8" s="6" t="s">
        <v>534</v>
      </c>
      <c r="C8" s="6" t="s">
        <v>535</v>
      </c>
      <c r="D8" s="6" t="s">
        <v>536</v>
      </c>
      <c r="E8" s="6" t="s">
        <v>537</v>
      </c>
      <c r="F8" s="6" t="s">
        <v>538</v>
      </c>
    </row>
    <row r="9" customFormat="false" ht="35.05" hidden="false" customHeight="false" outlineLevel="0" collapsed="false">
      <c r="A9" s="6" t="s">
        <v>539</v>
      </c>
      <c r="B9" s="6" t="s">
        <v>540</v>
      </c>
      <c r="C9" s="6" t="s">
        <v>541</v>
      </c>
      <c r="D9" s="6" t="s">
        <v>542</v>
      </c>
      <c r="E9" s="6" t="s">
        <v>505</v>
      </c>
      <c r="F9" s="6" t="s">
        <v>543</v>
      </c>
    </row>
    <row r="10" customFormat="false" ht="46.25" hidden="false" customHeight="false" outlineLevel="0" collapsed="false">
      <c r="A10" s="6" t="s">
        <v>544</v>
      </c>
      <c r="B10" s="6" t="s">
        <v>545</v>
      </c>
      <c r="C10" s="6" t="s">
        <v>546</v>
      </c>
      <c r="D10" s="6" t="s">
        <v>542</v>
      </c>
      <c r="E10" s="6" t="s">
        <v>505</v>
      </c>
      <c r="F10" s="6" t="s">
        <v>547</v>
      </c>
    </row>
    <row r="11" customFormat="false" ht="46.25" hidden="false" customHeight="false" outlineLevel="0" collapsed="false">
      <c r="A11" s="6" t="s">
        <v>548</v>
      </c>
      <c r="B11" s="6" t="s">
        <v>549</v>
      </c>
      <c r="C11" s="6" t="s">
        <v>550</v>
      </c>
      <c r="D11" s="6" t="s">
        <v>551</v>
      </c>
      <c r="E11" s="6" t="s">
        <v>552</v>
      </c>
      <c r="F11" s="6" t="s">
        <v>553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54"/>
    <col collapsed="false" customWidth="true" hidden="false" outlineLevel="0" max="3" min="3" style="0" width="58"/>
    <col collapsed="false" customWidth="true" hidden="false" outlineLevel="0" max="4" min="4" style="0" width="52"/>
    <col collapsed="false" customWidth="true" hidden="false" outlineLevel="0" max="5" min="5" style="0" width="46"/>
    <col collapsed="false" customWidth="true" hidden="false" outlineLevel="0" max="6" min="6" style="0" width="86"/>
  </cols>
  <sheetData>
    <row r="1" customFormat="false" ht="33.75" hidden="false" customHeight="true" outlineLevel="0" collapsed="false">
      <c r="A1" s="5" t="s">
        <v>554</v>
      </c>
      <c r="B1" s="5" t="s">
        <v>555</v>
      </c>
      <c r="C1" s="5" t="s">
        <v>556</v>
      </c>
      <c r="D1" s="5" t="s">
        <v>26</v>
      </c>
      <c r="E1" s="5" t="s">
        <v>28</v>
      </c>
      <c r="F1" s="5" t="s">
        <v>557</v>
      </c>
    </row>
    <row r="2" customFormat="false" ht="35.05" hidden="false" customHeight="false" outlineLevel="0" collapsed="false">
      <c r="A2" s="6" t="s">
        <v>558</v>
      </c>
      <c r="B2" s="6" t="s">
        <v>559</v>
      </c>
      <c r="C2" s="6" t="s">
        <v>560</v>
      </c>
      <c r="D2" s="6" t="s">
        <v>561</v>
      </c>
      <c r="E2" s="6" t="s">
        <v>562</v>
      </c>
      <c r="F2" s="6" t="s">
        <v>563</v>
      </c>
    </row>
    <row r="3" customFormat="false" ht="35.05" hidden="false" customHeight="false" outlineLevel="0" collapsed="false">
      <c r="A3" s="6" t="s">
        <v>564</v>
      </c>
      <c r="B3" s="6" t="s">
        <v>565</v>
      </c>
      <c r="C3" s="6" t="s">
        <v>566</v>
      </c>
      <c r="D3" s="6" t="s">
        <v>567</v>
      </c>
      <c r="E3" s="6" t="s">
        <v>568</v>
      </c>
      <c r="F3" s="6" t="s">
        <v>569</v>
      </c>
    </row>
    <row r="4" customFormat="false" ht="23.85" hidden="false" customHeight="false" outlineLevel="0" collapsed="false">
      <c r="A4" s="6" t="s">
        <v>570</v>
      </c>
      <c r="B4" s="6" t="s">
        <v>571</v>
      </c>
      <c r="C4" s="6" t="s">
        <v>572</v>
      </c>
      <c r="D4" s="6" t="s">
        <v>573</v>
      </c>
      <c r="E4" s="6" t="s">
        <v>574</v>
      </c>
      <c r="F4" s="6" t="s">
        <v>575</v>
      </c>
    </row>
    <row r="5" customFormat="false" ht="23.85" hidden="false" customHeight="false" outlineLevel="0" collapsed="false">
      <c r="A5" s="6" t="s">
        <v>576</v>
      </c>
      <c r="B5" s="6" t="s">
        <v>577</v>
      </c>
      <c r="C5" s="6" t="s">
        <v>578</v>
      </c>
      <c r="D5" s="6" t="s">
        <v>579</v>
      </c>
      <c r="E5" s="6" t="s">
        <v>580</v>
      </c>
      <c r="F5" s="6" t="s">
        <v>581</v>
      </c>
    </row>
    <row r="6" customFormat="false" ht="23.85" hidden="false" customHeight="false" outlineLevel="0" collapsed="false">
      <c r="A6" s="6" t="s">
        <v>582</v>
      </c>
      <c r="B6" s="6" t="s">
        <v>583</v>
      </c>
      <c r="C6" s="6" t="s">
        <v>584</v>
      </c>
      <c r="D6" s="6" t="s">
        <v>585</v>
      </c>
      <c r="E6" s="6" t="s">
        <v>586</v>
      </c>
      <c r="F6" s="6" t="s">
        <v>587</v>
      </c>
    </row>
    <row r="7" customFormat="false" ht="35.05" hidden="false" customHeight="false" outlineLevel="0" collapsed="false">
      <c r="A7" s="6" t="s">
        <v>588</v>
      </c>
      <c r="B7" s="6" t="s">
        <v>589</v>
      </c>
      <c r="C7" s="6" t="s">
        <v>590</v>
      </c>
      <c r="D7" s="6" t="s">
        <v>591</v>
      </c>
      <c r="E7" s="6" t="s">
        <v>592</v>
      </c>
      <c r="F7" s="6" t="s">
        <v>593</v>
      </c>
    </row>
    <row r="8" customFormat="false" ht="15" hidden="false" customHeight="false" outlineLevel="0" collapsed="false">
      <c r="A8" s="6" t="s">
        <v>594</v>
      </c>
      <c r="B8" s="6" t="s">
        <v>595</v>
      </c>
      <c r="C8" s="6" t="s">
        <v>596</v>
      </c>
      <c r="D8" s="6" t="s">
        <v>122</v>
      </c>
      <c r="E8" s="6" t="s">
        <v>597</v>
      </c>
      <c r="F8" s="6" t="s">
        <v>598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2"/>
    <col collapsed="false" customWidth="true" hidden="false" outlineLevel="0" max="3" min="3" style="0" width="84"/>
    <col collapsed="false" customWidth="true" hidden="false" outlineLevel="0" max="4" min="4" style="0" width="66"/>
    <col collapsed="false" customWidth="true" hidden="false" outlineLevel="0" max="5" min="5" style="0" width="80"/>
    <col collapsed="false" customWidth="true" hidden="false" outlineLevel="0" max="6" min="6" style="0" width="44"/>
  </cols>
  <sheetData>
    <row r="1" customFormat="false" ht="33.75" hidden="false" customHeight="true" outlineLevel="0" collapsed="false">
      <c r="A1" s="5" t="s">
        <v>31</v>
      </c>
      <c r="B1" s="5" t="s">
        <v>599</v>
      </c>
      <c r="C1" s="5" t="s">
        <v>600</v>
      </c>
      <c r="D1" s="5" t="s">
        <v>601</v>
      </c>
      <c r="E1" s="5" t="s">
        <v>602</v>
      </c>
      <c r="F1" s="5" t="s">
        <v>603</v>
      </c>
    </row>
    <row r="2" customFormat="false" ht="46.25" hidden="false" customHeight="false" outlineLevel="0" collapsed="false">
      <c r="A2" s="6" t="s">
        <v>507</v>
      </c>
      <c r="B2" s="6" t="s">
        <v>604</v>
      </c>
      <c r="C2" s="6" t="s">
        <v>605</v>
      </c>
      <c r="D2" s="6" t="s">
        <v>606</v>
      </c>
      <c r="E2" s="6" t="s">
        <v>607</v>
      </c>
      <c r="F2" s="6" t="s">
        <v>608</v>
      </c>
    </row>
    <row r="3" customFormat="false" ht="46.25" hidden="false" customHeight="false" outlineLevel="0" collapsed="false">
      <c r="A3" s="6" t="s">
        <v>512</v>
      </c>
      <c r="B3" s="6" t="s">
        <v>609</v>
      </c>
      <c r="C3" s="6" t="s">
        <v>610</v>
      </c>
      <c r="D3" s="6" t="s">
        <v>611</v>
      </c>
      <c r="E3" s="6" t="s">
        <v>612</v>
      </c>
      <c r="F3" s="6" t="s">
        <v>613</v>
      </c>
    </row>
    <row r="4" customFormat="false" ht="79.85" hidden="false" customHeight="false" outlineLevel="0" collapsed="false">
      <c r="A4" s="6" t="s">
        <v>111</v>
      </c>
      <c r="B4" s="6" t="s">
        <v>614</v>
      </c>
      <c r="C4" s="6" t="s">
        <v>615</v>
      </c>
      <c r="D4" s="6" t="s">
        <v>616</v>
      </c>
      <c r="E4" s="6" t="s">
        <v>617</v>
      </c>
      <c r="F4" s="6" t="s">
        <v>618</v>
      </c>
    </row>
    <row r="5" customFormat="false" ht="35.05" hidden="false" customHeight="false" outlineLevel="0" collapsed="false">
      <c r="A5" s="6" t="s">
        <v>101</v>
      </c>
      <c r="B5" s="6" t="s">
        <v>619</v>
      </c>
      <c r="C5" s="6" t="s">
        <v>620</v>
      </c>
      <c r="D5" s="6" t="s">
        <v>621</v>
      </c>
      <c r="E5" s="6" t="s">
        <v>622</v>
      </c>
      <c r="F5" s="6" t="s">
        <v>623</v>
      </c>
    </row>
    <row r="6" customFormat="false" ht="23.85" hidden="false" customHeight="false" outlineLevel="0" collapsed="false">
      <c r="A6" s="6" t="s">
        <v>527</v>
      </c>
      <c r="B6" s="6" t="s">
        <v>624</v>
      </c>
      <c r="C6" s="6" t="s">
        <v>625</v>
      </c>
      <c r="D6" s="6" t="s">
        <v>626</v>
      </c>
      <c r="E6" s="6" t="s">
        <v>627</v>
      </c>
      <c r="F6" s="6" t="s">
        <v>628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2026-08-17T12:13:42Z</dcterms:created>
  <dc:creator>openpyxl</dc:creator>
  <dc:description/>
  <dc:language>en-US</dc:language>
  <cp:lastModifiedBy/>
  <dcterms:modified xsi:type="dcterms:W3CDTF">2026-08-17T12:13:42Z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